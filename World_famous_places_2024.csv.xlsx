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faris\Downloads\Excel_DataCamp\"/>
    </mc:Choice>
  </mc:AlternateContent>
  <xr:revisionPtr revIDLastSave="0" documentId="13_ncr:1_{5A5AC79D-6E12-43CD-9E51-DB0DEEEAD0C9}" xr6:coauthVersionLast="47" xr6:coauthVersionMax="47" xr10:uidLastSave="{00000000-0000-0000-0000-000000000000}"/>
  <bookViews>
    <workbookView xWindow="-108" yWindow="-108" windowWidth="23256" windowHeight="12456" activeTab="2" xr2:uid="{764C82BE-3BB2-46AD-AAD3-739A9F059EF8}"/>
  </bookViews>
  <sheets>
    <sheet name="Raw_Data" sheetId="7" r:id="rId1"/>
    <sheet name="world_famous_places_2024 " sheetId="1" r:id="rId2"/>
    <sheet name="Pivot" sheetId="3" r:id="rId3"/>
    <sheet name="Dashboard" sheetId="5" r:id="rId4"/>
    <sheet name="Insights &amp; Recommendations" sheetId="6" r:id="rId5"/>
  </sheets>
  <definedNames>
    <definedName name="Slicer_Country">#N/A</definedName>
    <definedName name="Slicer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2" i="1" l="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alcChain>
</file>

<file path=xl/sharedStrings.xml><?xml version="1.0" encoding="utf-8"?>
<sst xmlns="http://schemas.openxmlformats.org/spreadsheetml/2006/main" count="629" uniqueCount="207">
  <si>
    <t>Country</t>
  </si>
  <si>
    <t>City</t>
  </si>
  <si>
    <t>Type</t>
  </si>
  <si>
    <t>Eiffel Tower</t>
  </si>
  <si>
    <t>France</t>
  </si>
  <si>
    <t>Paris</t>
  </si>
  <si>
    <t>Monument/Tower</t>
  </si>
  <si>
    <t>No</t>
  </si>
  <si>
    <t>May-June/Sept-Oct</t>
  </si>
  <si>
    <t>Western Europe</t>
  </si>
  <si>
    <t>Iconic iron lattice tower, symbol of Paris</t>
  </si>
  <si>
    <t>Times Square</t>
  </si>
  <si>
    <t>United States</t>
  </si>
  <si>
    <t>New York City</t>
  </si>
  <si>
    <t>Urban Landmark</t>
  </si>
  <si>
    <t>Apr-June/Sept-Nov</t>
  </si>
  <si>
    <t>North America</t>
  </si>
  <si>
    <t>Bright lights, Broadway shows, New Year's Eve ball drop</t>
  </si>
  <si>
    <t>Louvre Museum</t>
  </si>
  <si>
    <t>Museum</t>
  </si>
  <si>
    <t>Yes</t>
  </si>
  <si>
    <t>Oct-March</t>
  </si>
  <si>
    <t>World's most visited museum, home to Mona Lisa</t>
  </si>
  <si>
    <t>Great Wall of China</t>
  </si>
  <si>
    <t>China</t>
  </si>
  <si>
    <t>Beijing/Multiple</t>
  </si>
  <si>
    <t>Historic Monument</t>
  </si>
  <si>
    <t>220 BC - 1644 AD</t>
  </si>
  <si>
    <t>Apr-May/Sept-Oct</t>
  </si>
  <si>
    <t>East Asia</t>
  </si>
  <si>
    <t>Ancient defensive structure visible from space</t>
  </si>
  <si>
    <t>Taj Mahal</t>
  </si>
  <si>
    <t>India</t>
  </si>
  <si>
    <t>Agra</t>
  </si>
  <si>
    <t>Monument/Mausoleum</t>
  </si>
  <si>
    <t>South Asia</t>
  </si>
  <si>
    <t>White marble mausoleum, symbol of love</t>
  </si>
  <si>
    <t>Colosseum</t>
  </si>
  <si>
    <t>Italy</t>
  </si>
  <si>
    <t>Rome</t>
  </si>
  <si>
    <t>Southern Europe</t>
  </si>
  <si>
    <t>Ancient Roman amphitheater for gladiator battles</t>
  </si>
  <si>
    <t>Statue of Liberty</t>
  </si>
  <si>
    <t>Monument/Statue</t>
  </si>
  <si>
    <t>May-Sept</t>
  </si>
  <si>
    <t>Symbol of freedom and democracy</t>
  </si>
  <si>
    <t>Sydney Opera House</t>
  </si>
  <si>
    <t>Australia</t>
  </si>
  <si>
    <t>Sydney</t>
  </si>
  <si>
    <t>Cultural Building</t>
  </si>
  <si>
    <t>Sept-Nov</t>
  </si>
  <si>
    <t>Oceania</t>
  </si>
  <si>
    <t>Unique sail-like design, performing arts center</t>
  </si>
  <si>
    <t>Machu Picchu</t>
  </si>
  <si>
    <t>Peru</t>
  </si>
  <si>
    <t>Cusco Region</t>
  </si>
  <si>
    <t>Archaeological Site</t>
  </si>
  <si>
    <t>Apr-Oct</t>
  </si>
  <si>
    <t>South America</t>
  </si>
  <si>
    <t>Ancient Incan citadel in the Andes mountains</t>
  </si>
  <si>
    <t>Forbidden City</t>
  </si>
  <si>
    <t>Beijing</t>
  </si>
  <si>
    <t>Historic Palace</t>
  </si>
  <si>
    <t>Imperial palace of Ming and Qing dynasties</t>
  </si>
  <si>
    <t>Angkor Wat</t>
  </si>
  <si>
    <t>Cambodia</t>
  </si>
  <si>
    <t>Siem Reap</t>
  </si>
  <si>
    <t>Temple Complex</t>
  </si>
  <si>
    <t>Nov-Feb</t>
  </si>
  <si>
    <t>Southeast Asia</t>
  </si>
  <si>
    <t>Largest religious monument, Hindu-Buddhist temple</t>
  </si>
  <si>
    <t>Notre-Dame Cathedral</t>
  </si>
  <si>
    <t>Cathedral</t>
  </si>
  <si>
    <t>Apr-June/Sept-Oct</t>
  </si>
  <si>
    <t>Gothic masterpiece, medieval Catholic cathedral</t>
  </si>
  <si>
    <t>Central Park</t>
  </si>
  <si>
    <t>Park</t>
  </si>
  <si>
    <t>Urban park oasis in Manhattan</t>
  </si>
  <si>
    <t>Las Vegas Strip</t>
  </si>
  <si>
    <t>Las Vegas</t>
  </si>
  <si>
    <t>Entertainment District</t>
  </si>
  <si>
    <t>March-May/Sept-Nov</t>
  </si>
  <si>
    <t>Casino resorts, entertainment, nightlife</t>
  </si>
  <si>
    <t>Empire State Building</t>
  </si>
  <si>
    <t>Skyscraper</t>
  </si>
  <si>
    <t>Art Deco skyscraper, NYC icon</t>
  </si>
  <si>
    <t>Golden Gate Bridge</t>
  </si>
  <si>
    <t>San Francisco</t>
  </si>
  <si>
    <t>Bridge</t>
  </si>
  <si>
    <t>Suspension bridge, engineering marvel</t>
  </si>
  <si>
    <t>Lincoln Memorial</t>
  </si>
  <si>
    <t>Washington D.C.</t>
  </si>
  <si>
    <t>Monument/Memorial</t>
  </si>
  <si>
    <t>Memorial to President Abraham Lincoln</t>
  </si>
  <si>
    <t>Sagrada Familia</t>
  </si>
  <si>
    <t>Spain</t>
  </si>
  <si>
    <t>Barcelona</t>
  </si>
  <si>
    <t>Under Construction (Started 1882)</t>
  </si>
  <si>
    <t>GaudÃ­'s unfinished basilica, unique architecture</t>
  </si>
  <si>
    <t>Disneyland (California)</t>
  </si>
  <si>
    <t>Anaheim</t>
  </si>
  <si>
    <t>Theme Park</t>
  </si>
  <si>
    <t>Apr-May/Sept-Nov</t>
  </si>
  <si>
    <t>Original Disney theme park</t>
  </si>
  <si>
    <t>Magic Kingdom (Orlando)</t>
  </si>
  <si>
    <t>Orlando</t>
  </si>
  <si>
    <t>Jan-May/Sept-Dec</t>
  </si>
  <si>
    <t>Disney World's flagship park with Cinderella Castle</t>
  </si>
  <si>
    <t>Grand Canyon</t>
  </si>
  <si>
    <t>Arizona</t>
  </si>
  <si>
    <t>Natural Wonder</t>
  </si>
  <si>
    <t>Natural Formation</t>
  </si>
  <si>
    <t>Massive canyon carved by Colorado River</t>
  </si>
  <si>
    <t>Great Pyramid of Giza</t>
  </si>
  <si>
    <t>Egypt</t>
  </si>
  <si>
    <t>Cairo</t>
  </si>
  <si>
    <t>Oct-Apr</t>
  </si>
  <si>
    <t>North Africa</t>
  </si>
  <si>
    <t>Only remaining ancient wonder, pharaoh's tomb</t>
  </si>
  <si>
    <t>Leaning Tower of Pisa</t>
  </si>
  <si>
    <t>Pisa</t>
  </si>
  <si>
    <t>Historic Tower</t>
  </si>
  <si>
    <t>Tilted bell tower, architectural anomaly</t>
  </si>
  <si>
    <t>Palace of Versailles</t>
  </si>
  <si>
    <t>Versailles</t>
  </si>
  <si>
    <t>Opulent royal residence, Hall of Mirrors</t>
  </si>
  <si>
    <t>Acropolis</t>
  </si>
  <si>
    <t>Greece</t>
  </si>
  <si>
    <t>Athens</t>
  </si>
  <si>
    <t>Ancient citadel, Parthenon temple</t>
  </si>
  <si>
    <t>Burj Khalifa</t>
  </si>
  <si>
    <t>United Arab Emirates</t>
  </si>
  <si>
    <t>Dubai</t>
  </si>
  <si>
    <t>Nov-March</t>
  </si>
  <si>
    <t>Middle East</t>
  </si>
  <si>
    <t>Tallest building in the world</t>
  </si>
  <si>
    <t>Big Ben</t>
  </si>
  <si>
    <t>United Kingdom</t>
  </si>
  <si>
    <t>London</t>
  </si>
  <si>
    <t>Clock Tower</t>
  </si>
  <si>
    <t>Clock tower, Westminster Palace</t>
  </si>
  <si>
    <t>Tower Bridge</t>
  </si>
  <si>
    <t>Victorian Gothic suspension bridge</t>
  </si>
  <si>
    <t>Buckingham Palace</t>
  </si>
  <si>
    <t>Palace</t>
  </si>
  <si>
    <t>June-Sept</t>
  </si>
  <si>
    <t>Official residence of British monarch</t>
  </si>
  <si>
    <t>Christ the Redeemer</t>
  </si>
  <si>
    <t>Brazil</t>
  </si>
  <si>
    <t>Rio de Janeiro</t>
  </si>
  <si>
    <t>Art Deco statue of Jesus Christ</t>
  </si>
  <si>
    <t>Place Name</t>
  </si>
  <si>
    <t>Annual Visitors Millions</t>
  </si>
  <si>
    <t>UNESCO World Heritage</t>
  </si>
  <si>
    <t>Year Built</t>
  </si>
  <si>
    <t>Entry Fee USD</t>
  </si>
  <si>
    <t>Best Visit Month</t>
  </si>
  <si>
    <t>Famous For</t>
  </si>
  <si>
    <t>Average Visit Duration Hours</t>
  </si>
  <si>
    <t>Tourism Revenue Million USD</t>
  </si>
  <si>
    <t>Popularity Tier</t>
  </si>
  <si>
    <t>Revenue Per Hour</t>
  </si>
  <si>
    <t>Region2</t>
  </si>
  <si>
    <t>Row Labels</t>
  </si>
  <si>
    <t>Grand Total</t>
  </si>
  <si>
    <t>Count of Place Name</t>
  </si>
  <si>
    <t>Sum of Tourism Revenue Million USD</t>
  </si>
  <si>
    <t>Average of Tourism Revenue Million USD</t>
  </si>
  <si>
    <t>Sum of Average Visit Duration Hours</t>
  </si>
  <si>
    <t>High</t>
  </si>
  <si>
    <t>Low</t>
  </si>
  <si>
    <t>Medium</t>
  </si>
  <si>
    <t>Count of Popularity Tier</t>
  </si>
  <si>
    <t>World Famous Places</t>
  </si>
  <si>
    <t>Insight</t>
  </si>
  <si>
    <t>Business Interpretation / Recommendation</t>
  </si>
  <si>
    <t>Countries with fewer famous places can still generate high total tourism revenue</t>
  </si>
  <si>
    <t>Tourism revenue depends on destination value and visitor spending, not only the number of attractions</t>
  </si>
  <si>
    <t>Natural attractions show longer average visit durations than other categories</t>
  </si>
  <si>
    <t>Visitors tend to spend more time in experiential and nature-based destinations</t>
  </si>
  <si>
    <t>There is a positive relationship between visit duration and tourism revenue</t>
  </si>
  <si>
    <t>Encouraging longer stays can increase overall tourism revenue</t>
  </si>
  <si>
    <t>Some destinations generate high revenue despite medium or low popularity scores</t>
  </si>
  <si>
    <t>These locations may rely on premium pricing or niche tourism segments</t>
  </si>
  <si>
    <t>Popularity does not always directly translate into higher revenue</t>
  </si>
  <si>
    <t>Marketing strategies should focus on revenue potential, not popularity alone</t>
  </si>
  <si>
    <t>Certain countries dominate tourism revenue due to high-performing individual destinations</t>
  </si>
  <si>
    <t>Investing in flagship attractions can significantly impact national tourism income</t>
  </si>
  <si>
    <t>Destinations with high revenue per hour indicate efficient visitor spending</t>
  </si>
  <si>
    <t>These locations represent high-value tourism opportunities</t>
  </si>
  <si>
    <t>Cultural and natural categories contribute significantly to total tourism revenue</t>
  </si>
  <si>
    <t>Diversifying tourism offerings can improve revenue stability</t>
  </si>
  <si>
    <t>Key Recommendations</t>
  </si>
  <si>
    <t>Focus marketing efforts on destinations with high revenue per visitor</t>
  </si>
  <si>
    <t>Promote longer visitor stays to increase economic impact</t>
  </si>
  <si>
    <t>Identify and promote high-value destinations with lower popularity</t>
  </si>
  <si>
    <t>Invest in experiential tourism categories such as natural and cultural attractions</t>
  </si>
  <si>
    <t>Place_Name</t>
  </si>
  <si>
    <t>Annual_Visitors_Millions</t>
  </si>
  <si>
    <t>UNESCO_World_Heritage</t>
  </si>
  <si>
    <t>Year_Built</t>
  </si>
  <si>
    <t>Entry_Fee_USD</t>
  </si>
  <si>
    <t>Best_Visit_Month</t>
  </si>
  <si>
    <t>Region</t>
  </si>
  <si>
    <t>Tourism_Revenue_Million_USD</t>
  </si>
  <si>
    <t>Average_Visit_Duration_Hours</t>
  </si>
  <si>
    <t>Famous_For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</si>
</sst>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quot; Mil&quot;"/>
    <numFmt numFmtId="165" formatCode="General&quot; Hours&quot;"/>
    <numFmt numFmtId="166" formatCode="General&quot; Mil&quot;"/>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name val="Calibri"/>
      <family val="2"/>
      <scheme val="minor"/>
    </font>
    <font>
      <b/>
      <sz val="12"/>
      <color theme="1"/>
      <name val="Calibri"/>
      <family val="2"/>
      <scheme val="minor"/>
    </font>
    <font>
      <sz val="12"/>
      <color theme="1"/>
      <name val="Calibri"/>
      <family val="2"/>
      <scheme val="minor"/>
    </font>
    <font>
      <b/>
      <sz val="25"/>
      <color theme="0"/>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18" fillId="33" borderId="0" xfId="0" applyFont="1" applyFill="1"/>
    <xf numFmtId="0" fontId="0" fillId="34" borderId="0" xfId="0" applyFill="1"/>
    <xf numFmtId="0" fontId="0" fillId="33" borderId="0" xfId="0" applyFill="1"/>
    <xf numFmtId="0" fontId="19" fillId="0" borderId="0" xfId="0" applyFont="1" applyAlignment="1">
      <alignment horizontal="center" vertical="center" wrapText="1"/>
    </xf>
    <xf numFmtId="0" fontId="19" fillId="0" borderId="0" xfId="0" applyFont="1" applyAlignment="1">
      <alignment vertical="center" wrapText="1"/>
    </xf>
    <xf numFmtId="0" fontId="20" fillId="0" borderId="0" xfId="0" applyFont="1" applyAlignment="1">
      <alignment vertical="center"/>
    </xf>
    <xf numFmtId="0" fontId="16" fillId="0" borderId="0" xfId="0" applyFont="1"/>
    <xf numFmtId="0" fontId="21"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6" formatCode="General&quot; Mil&quot;"/>
    </dxf>
    <dxf>
      <numFmt numFmtId="166" formatCode="General&quot; Mil&quot;"/>
    </dxf>
    <dxf>
      <numFmt numFmtId="166" formatCode="General&quot; Mil&quot;"/>
    </dxf>
    <dxf>
      <numFmt numFmtId="165" formatCode="General&quot; Hours&quot;"/>
    </dxf>
    <dxf>
      <font>
        <strike val="0"/>
        <outline val="0"/>
        <shadow val="0"/>
        <u val="none"/>
        <vertAlign val="baseline"/>
        <sz val="12"/>
        <color theme="1"/>
        <name val="Calibri"/>
        <family val="2"/>
        <scheme val="minor"/>
      </font>
      <alignment horizontal="general" vertical="center" textRotation="0" wrapText="0" indent="0" justifyLastLine="0" shrinkToFit="0" readingOrder="0"/>
    </dxf>
    <dxf>
      <font>
        <strike val="0"/>
        <outline val="0"/>
        <shadow val="0"/>
        <u val="none"/>
        <vertAlign val="baseline"/>
        <sz val="12"/>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strike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numFmt numFmtId="166" formatCode="General&quot; Mil&quot;"/>
    </dxf>
    <dxf>
      <numFmt numFmtId="165" formatCode="General&quot; Hours&quot;"/>
    </dxf>
    <dxf>
      <numFmt numFmtId="164" formatCode="00&quot; Mil&quot;"/>
    </dxf>
    <dxf>
      <numFmt numFmtId="164" formatCode="00&quot; Mil&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[world_famous_places_2024.csv.xlsx]Pivot!PivotTable1</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Total Famous Places By Country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Pivot!$A$2:$A$16</c:f>
              <c:strCache>
                <c:ptCount val="14"/>
                <c:pt idx="0">
                  <c:v>Australia</c:v>
                </c:pt>
                <c:pt idx="1">
                  <c:v>Brazil</c:v>
                </c:pt>
                <c:pt idx="2">
                  <c:v>Cambodia</c:v>
                </c:pt>
                <c:pt idx="3">
                  <c:v>China</c:v>
                </c:pt>
                <c:pt idx="4">
                  <c:v>Egypt</c:v>
                </c:pt>
                <c:pt idx="5">
                  <c:v>France</c:v>
                </c:pt>
                <c:pt idx="6">
                  <c:v>Greece</c:v>
                </c:pt>
                <c:pt idx="7">
                  <c:v>India</c:v>
                </c:pt>
                <c:pt idx="8">
                  <c:v>Italy</c:v>
                </c:pt>
                <c:pt idx="9">
                  <c:v>Peru</c:v>
                </c:pt>
                <c:pt idx="10">
                  <c:v>Spain</c:v>
                </c:pt>
                <c:pt idx="11">
                  <c:v>United Arab Emirates</c:v>
                </c:pt>
                <c:pt idx="12">
                  <c:v>United Kingdom</c:v>
                </c:pt>
                <c:pt idx="13">
                  <c:v>United States</c:v>
                </c:pt>
              </c:strCache>
            </c:strRef>
          </c:cat>
          <c:val>
            <c:numRef>
              <c:f>Pivot!$B$2:$B$16</c:f>
              <c:numCache>
                <c:formatCode>General</c:formatCode>
                <c:ptCount val="14"/>
                <c:pt idx="0">
                  <c:v>1</c:v>
                </c:pt>
                <c:pt idx="1">
                  <c:v>1</c:v>
                </c:pt>
                <c:pt idx="2">
                  <c:v>1</c:v>
                </c:pt>
                <c:pt idx="3">
                  <c:v>2</c:v>
                </c:pt>
                <c:pt idx="4">
                  <c:v>1</c:v>
                </c:pt>
                <c:pt idx="5">
                  <c:v>4</c:v>
                </c:pt>
                <c:pt idx="6">
                  <c:v>1</c:v>
                </c:pt>
                <c:pt idx="7">
                  <c:v>1</c:v>
                </c:pt>
                <c:pt idx="8">
                  <c:v>2</c:v>
                </c:pt>
                <c:pt idx="9">
                  <c:v>1</c:v>
                </c:pt>
                <c:pt idx="10">
                  <c:v>1</c:v>
                </c:pt>
                <c:pt idx="11">
                  <c:v>1</c:v>
                </c:pt>
                <c:pt idx="12">
                  <c:v>3</c:v>
                </c:pt>
                <c:pt idx="13">
                  <c:v>10</c:v>
                </c:pt>
              </c:numCache>
            </c:numRef>
          </c:val>
          <c:extLst>
            <c:ext xmlns:c16="http://schemas.microsoft.com/office/drawing/2014/chart" uri="{C3380CC4-5D6E-409C-BE32-E72D297353CC}">
              <c16:uniqueId val="{00000000-52BD-4065-A7DE-79B5F7BEF85C}"/>
            </c:ext>
          </c:extLst>
        </c:ser>
        <c:dLbls>
          <c:dLblPos val="outEnd"/>
          <c:showLegendKey val="0"/>
          <c:showVal val="1"/>
          <c:showCatName val="0"/>
          <c:showSerName val="0"/>
          <c:showPercent val="0"/>
          <c:showBubbleSize val="0"/>
        </c:dLbls>
        <c:gapWidth val="267"/>
        <c:overlap val="-43"/>
        <c:axId val="413578575"/>
        <c:axId val="413577615"/>
      </c:barChart>
      <c:catAx>
        <c:axId val="41357857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13577615"/>
        <c:crosses val="autoZero"/>
        <c:auto val="1"/>
        <c:lblAlgn val="ctr"/>
        <c:lblOffset val="100"/>
        <c:noMultiLvlLbl val="0"/>
      </c:catAx>
      <c:valAx>
        <c:axId val="41357761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1357857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[world_famous_places_2024.csv.xlsx]Pivot!PivotTable2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Of Tourism Revenue Million USD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Pivot!$B$19</c:f>
              <c:strCache>
                <c:ptCount val="1"/>
                <c:pt idx="0">
                  <c:v>Total</c:v>
                </c:pt>
              </c:strCache>
            </c:strRef>
          </c:tx>
          <c:spPr>
            <a:solidFill>
              <a:schemeClr val="accent1"/>
            </a:solidFill>
            <a:ln>
              <a:noFill/>
            </a:ln>
            <a:effectLst/>
          </c:spPr>
          <c:invertIfNegative val="0"/>
          <c:cat>
            <c:strRef>
              <c:f>Pivot!$A$20:$A$41</c:f>
              <c:strCache>
                <c:ptCount val="21"/>
                <c:pt idx="0">
                  <c:v>Monument/Memorial</c:v>
                </c:pt>
                <c:pt idx="1">
                  <c:v>Park</c:v>
                </c:pt>
                <c:pt idx="2">
                  <c:v>Monument/Statue</c:v>
                </c:pt>
                <c:pt idx="3">
                  <c:v>Historic Tower</c:v>
                </c:pt>
                <c:pt idx="4">
                  <c:v>Monument/Mausoleum</c:v>
                </c:pt>
                <c:pt idx="5">
                  <c:v>Clock Tower</c:v>
                </c:pt>
                <c:pt idx="6">
                  <c:v>Urban Landmark</c:v>
                </c:pt>
                <c:pt idx="7">
                  <c:v>Bridge</c:v>
                </c:pt>
                <c:pt idx="8">
                  <c:v>Temple Complex</c:v>
                </c:pt>
                <c:pt idx="9">
                  <c:v>Cathedral</c:v>
                </c:pt>
                <c:pt idx="10">
                  <c:v>Monument/Tower</c:v>
                </c:pt>
                <c:pt idx="11">
                  <c:v>Historic Monument</c:v>
                </c:pt>
                <c:pt idx="12">
                  <c:v>Cultural Building</c:v>
                </c:pt>
                <c:pt idx="13">
                  <c:v>Archaeological Site</c:v>
                </c:pt>
                <c:pt idx="14">
                  <c:v>Palace</c:v>
                </c:pt>
                <c:pt idx="15">
                  <c:v>Museum</c:v>
                </c:pt>
                <c:pt idx="16">
                  <c:v>Historic Palace</c:v>
                </c:pt>
                <c:pt idx="17">
                  <c:v>Skyscraper</c:v>
                </c:pt>
                <c:pt idx="18">
                  <c:v>Natural Wonder</c:v>
                </c:pt>
                <c:pt idx="19">
                  <c:v>Theme Park</c:v>
                </c:pt>
                <c:pt idx="20">
                  <c:v>Entertainment District</c:v>
                </c:pt>
              </c:strCache>
            </c:strRef>
          </c:cat>
          <c:val>
            <c:numRef>
              <c:f>Pivot!$B$20:$B$41</c:f>
              <c:numCache>
                <c:formatCode>00" Mil"</c:formatCode>
                <c:ptCount val="21"/>
                <c:pt idx="0">
                  <c:v>25</c:v>
                </c:pt>
                <c:pt idx="1">
                  <c:v>35</c:v>
                </c:pt>
                <c:pt idx="2">
                  <c:v>40</c:v>
                </c:pt>
                <c:pt idx="3">
                  <c:v>55</c:v>
                </c:pt>
                <c:pt idx="4">
                  <c:v>65</c:v>
                </c:pt>
                <c:pt idx="5">
                  <c:v>65</c:v>
                </c:pt>
                <c:pt idx="6">
                  <c:v>70</c:v>
                </c:pt>
                <c:pt idx="7">
                  <c:v>75</c:v>
                </c:pt>
                <c:pt idx="8">
                  <c:v>90</c:v>
                </c:pt>
                <c:pt idx="9">
                  <c:v>90</c:v>
                </c:pt>
                <c:pt idx="10">
                  <c:v>95</c:v>
                </c:pt>
                <c:pt idx="11">
                  <c:v>101.66666666666667</c:v>
                </c:pt>
                <c:pt idx="12">
                  <c:v>110</c:v>
                </c:pt>
                <c:pt idx="13">
                  <c:v>120</c:v>
                </c:pt>
                <c:pt idx="14">
                  <c:v>120</c:v>
                </c:pt>
                <c:pt idx="15">
                  <c:v>120</c:v>
                </c:pt>
                <c:pt idx="16">
                  <c:v>127.5</c:v>
                </c:pt>
                <c:pt idx="17">
                  <c:v>232.5</c:v>
                </c:pt>
                <c:pt idx="18">
                  <c:v>780</c:v>
                </c:pt>
                <c:pt idx="19">
                  <c:v>3850</c:v>
                </c:pt>
                <c:pt idx="20">
                  <c:v>6800</c:v>
                </c:pt>
              </c:numCache>
            </c:numRef>
          </c:val>
          <c:extLst>
            <c:ext xmlns:c16="http://schemas.microsoft.com/office/drawing/2014/chart" uri="{C3380CC4-5D6E-409C-BE32-E72D297353CC}">
              <c16:uniqueId val="{00000000-6BD1-477F-9CA9-CBA3EB02A4AB}"/>
            </c:ext>
          </c:extLst>
        </c:ser>
        <c:dLbls>
          <c:showLegendKey val="0"/>
          <c:showVal val="0"/>
          <c:showCatName val="0"/>
          <c:showSerName val="0"/>
          <c:showPercent val="0"/>
          <c:showBubbleSize val="0"/>
        </c:dLbls>
        <c:gapWidth val="219"/>
        <c:axId val="532632239"/>
        <c:axId val="532631759"/>
      </c:barChart>
      <c:catAx>
        <c:axId val="5326322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631759"/>
        <c:crosses val="autoZero"/>
        <c:auto val="1"/>
        <c:lblAlgn val="ctr"/>
        <c:lblOffset val="100"/>
        <c:noMultiLvlLbl val="0"/>
      </c:catAx>
      <c:valAx>
        <c:axId val="532631759"/>
        <c:scaling>
          <c:orientation val="minMax"/>
        </c:scaling>
        <c:delete val="0"/>
        <c:axPos val="b"/>
        <c:majorGridlines>
          <c:spPr>
            <a:ln w="9525" cap="flat" cmpd="sng" algn="ctr">
              <a:solidFill>
                <a:schemeClr val="tx1">
                  <a:lumMod val="15000"/>
                  <a:lumOff val="85000"/>
                </a:schemeClr>
              </a:solidFill>
              <a:round/>
            </a:ln>
            <a:effectLst/>
          </c:spPr>
        </c:majorGridlines>
        <c:numFmt formatCode="00&quot; Mil&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63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[world_famous_places_2024.csv.xlsx]Pivot!PivotTable3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Pivot!$B$44</c:f>
              <c:strCache>
                <c:ptCount val="1"/>
                <c:pt idx="0">
                  <c:v>Total</c:v>
                </c:pt>
              </c:strCache>
            </c:strRef>
          </c:tx>
          <c:spPr>
            <a:ln w="28575" cap="rnd">
              <a:solidFill>
                <a:schemeClr val="accent1"/>
              </a:solidFill>
              <a:round/>
            </a:ln>
            <a:effectLst/>
          </c:spPr>
          <c:marker>
            <c:symbol val="none"/>
          </c:marker>
          <c:cat>
            <c:strRef>
              <c:f>Pivot!$A$45:$A$66</c:f>
              <c:strCache>
                <c:ptCount val="21"/>
                <c:pt idx="0">
                  <c:v>Archaeological Site</c:v>
                </c:pt>
                <c:pt idx="1">
                  <c:v>Bridge</c:v>
                </c:pt>
                <c:pt idx="2">
                  <c:v>Cathedral</c:v>
                </c:pt>
                <c:pt idx="3">
                  <c:v>Clock Tower</c:v>
                </c:pt>
                <c:pt idx="4">
                  <c:v>Cultural Building</c:v>
                </c:pt>
                <c:pt idx="5">
                  <c:v>Entertainment District</c:v>
                </c:pt>
                <c:pt idx="6">
                  <c:v>Historic Monument</c:v>
                </c:pt>
                <c:pt idx="7">
                  <c:v>Historic Palace</c:v>
                </c:pt>
                <c:pt idx="8">
                  <c:v>Historic Tower</c:v>
                </c:pt>
                <c:pt idx="9">
                  <c:v>Monument/Mausoleum</c:v>
                </c:pt>
                <c:pt idx="10">
                  <c:v>Monument/Memorial</c:v>
                </c:pt>
                <c:pt idx="11">
                  <c:v>Monument/Statue</c:v>
                </c:pt>
                <c:pt idx="12">
                  <c:v>Monument/Tower</c:v>
                </c:pt>
                <c:pt idx="13">
                  <c:v>Museum</c:v>
                </c:pt>
                <c:pt idx="14">
                  <c:v>Natural Wonder</c:v>
                </c:pt>
                <c:pt idx="15">
                  <c:v>Palace</c:v>
                </c:pt>
                <c:pt idx="16">
                  <c:v>Park</c:v>
                </c:pt>
                <c:pt idx="17">
                  <c:v>Skyscraper</c:v>
                </c:pt>
                <c:pt idx="18">
                  <c:v>Temple Complex</c:v>
                </c:pt>
                <c:pt idx="19">
                  <c:v>Theme Park</c:v>
                </c:pt>
                <c:pt idx="20">
                  <c:v>Urban Landmark</c:v>
                </c:pt>
              </c:strCache>
            </c:strRef>
          </c:cat>
          <c:val>
            <c:numRef>
              <c:f>Pivot!$B$45:$B$66</c:f>
              <c:numCache>
                <c:formatCode>General" Hours"</c:formatCode>
                <c:ptCount val="21"/>
                <c:pt idx="0">
                  <c:v>11</c:v>
                </c:pt>
                <c:pt idx="1">
                  <c:v>2</c:v>
                </c:pt>
                <c:pt idx="2">
                  <c:v>3</c:v>
                </c:pt>
                <c:pt idx="3">
                  <c:v>0.5</c:v>
                </c:pt>
                <c:pt idx="4">
                  <c:v>1.5</c:v>
                </c:pt>
                <c:pt idx="5">
                  <c:v>8</c:v>
                </c:pt>
                <c:pt idx="6">
                  <c:v>9.5</c:v>
                </c:pt>
                <c:pt idx="7">
                  <c:v>7</c:v>
                </c:pt>
                <c:pt idx="8">
                  <c:v>1.5</c:v>
                </c:pt>
                <c:pt idx="9">
                  <c:v>2</c:v>
                </c:pt>
                <c:pt idx="10">
                  <c:v>1</c:v>
                </c:pt>
                <c:pt idx="11">
                  <c:v>3.5</c:v>
                </c:pt>
                <c:pt idx="12">
                  <c:v>2.5</c:v>
                </c:pt>
                <c:pt idx="13">
                  <c:v>4</c:v>
                </c:pt>
                <c:pt idx="14">
                  <c:v>5</c:v>
                </c:pt>
                <c:pt idx="15">
                  <c:v>1</c:v>
                </c:pt>
                <c:pt idx="16">
                  <c:v>3</c:v>
                </c:pt>
                <c:pt idx="17">
                  <c:v>3.5</c:v>
                </c:pt>
                <c:pt idx="18">
                  <c:v>6</c:v>
                </c:pt>
                <c:pt idx="19">
                  <c:v>18</c:v>
                </c:pt>
                <c:pt idx="20">
                  <c:v>1.5</c:v>
                </c:pt>
              </c:numCache>
            </c:numRef>
          </c:val>
          <c:smooth val="0"/>
          <c:extLst>
            <c:ext xmlns:c16="http://schemas.microsoft.com/office/drawing/2014/chart" uri="{C3380CC4-5D6E-409C-BE32-E72D297353CC}">
              <c16:uniqueId val="{00000000-A809-40B4-AFAE-585F989E97FD}"/>
            </c:ext>
          </c:extLst>
        </c:ser>
        <c:dLbls>
          <c:showLegendKey val="0"/>
          <c:showVal val="0"/>
          <c:showCatName val="0"/>
          <c:showSerName val="0"/>
          <c:showPercent val="0"/>
          <c:showBubbleSize val="0"/>
        </c:dLbls>
        <c:smooth val="0"/>
        <c:axId val="526229375"/>
        <c:axId val="526228415"/>
      </c:lineChart>
      <c:catAx>
        <c:axId val="52622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228415"/>
        <c:crosses val="autoZero"/>
        <c:auto val="1"/>
        <c:lblAlgn val="ctr"/>
        <c:lblOffset val="100"/>
        <c:noMultiLvlLbl val="0"/>
      </c:catAx>
      <c:valAx>
        <c:axId val="52622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quot; Hours&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22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[world_famous_places_2024.csv.xlsx]Pivot!PivotTable6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Pivot!$B$87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F8-4E71-8D4B-55EA3A80BA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F8-4E71-8D4B-55EA3A80BA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F8-4E71-8D4B-55EA3A80BAAC}"/>
              </c:ext>
            </c:extLst>
          </c:dPt>
          <c:cat>
            <c:strRef>
              <c:f>Pivot!$A$88:$A$91</c:f>
              <c:strCache>
                <c:ptCount val="3"/>
                <c:pt idx="0">
                  <c:v>High</c:v>
                </c:pt>
                <c:pt idx="1">
                  <c:v>Low</c:v>
                </c:pt>
                <c:pt idx="2">
                  <c:v>Medium</c:v>
                </c:pt>
              </c:strCache>
            </c:strRef>
          </c:cat>
          <c:val>
            <c:numRef>
              <c:f>Pivot!$B$88:$B$91</c:f>
              <c:numCache>
                <c:formatCode>General</c:formatCode>
                <c:ptCount val="3"/>
                <c:pt idx="0">
                  <c:v>16</c:v>
                </c:pt>
                <c:pt idx="1">
                  <c:v>6</c:v>
                </c:pt>
                <c:pt idx="2">
                  <c:v>8</c:v>
                </c:pt>
              </c:numCache>
            </c:numRef>
          </c:val>
          <c:extLst>
            <c:ext xmlns:c16="http://schemas.microsoft.com/office/drawing/2014/chart" uri="{C3380CC4-5D6E-409C-BE32-E72D297353CC}">
              <c16:uniqueId val="{00000000-C833-4B74-A49E-FC998736C04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[world_famous_places_2024.csv.xlsx]Pivot!PivotTable1</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Total Famous Places By Country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Pivot!$A$2:$A$16</c:f>
              <c:strCache>
                <c:ptCount val="14"/>
                <c:pt idx="0">
                  <c:v>Australia</c:v>
                </c:pt>
                <c:pt idx="1">
                  <c:v>Brazil</c:v>
                </c:pt>
                <c:pt idx="2">
                  <c:v>Cambodia</c:v>
                </c:pt>
                <c:pt idx="3">
                  <c:v>China</c:v>
                </c:pt>
                <c:pt idx="4">
                  <c:v>Egypt</c:v>
                </c:pt>
                <c:pt idx="5">
                  <c:v>France</c:v>
                </c:pt>
                <c:pt idx="6">
                  <c:v>Greece</c:v>
                </c:pt>
                <c:pt idx="7">
                  <c:v>India</c:v>
                </c:pt>
                <c:pt idx="8">
                  <c:v>Italy</c:v>
                </c:pt>
                <c:pt idx="9">
                  <c:v>Peru</c:v>
                </c:pt>
                <c:pt idx="10">
                  <c:v>Spain</c:v>
                </c:pt>
                <c:pt idx="11">
                  <c:v>United Arab Emirates</c:v>
                </c:pt>
                <c:pt idx="12">
                  <c:v>United Kingdom</c:v>
                </c:pt>
                <c:pt idx="13">
                  <c:v>United States</c:v>
                </c:pt>
              </c:strCache>
            </c:strRef>
          </c:cat>
          <c:val>
            <c:numRef>
              <c:f>Pivot!$B$2:$B$16</c:f>
              <c:numCache>
                <c:formatCode>General</c:formatCode>
                <c:ptCount val="14"/>
                <c:pt idx="0">
                  <c:v>1</c:v>
                </c:pt>
                <c:pt idx="1">
                  <c:v>1</c:v>
                </c:pt>
                <c:pt idx="2">
                  <c:v>1</c:v>
                </c:pt>
                <c:pt idx="3">
                  <c:v>2</c:v>
                </c:pt>
                <c:pt idx="4">
                  <c:v>1</c:v>
                </c:pt>
                <c:pt idx="5">
                  <c:v>4</c:v>
                </c:pt>
                <c:pt idx="6">
                  <c:v>1</c:v>
                </c:pt>
                <c:pt idx="7">
                  <c:v>1</c:v>
                </c:pt>
                <c:pt idx="8">
                  <c:v>2</c:v>
                </c:pt>
                <c:pt idx="9">
                  <c:v>1</c:v>
                </c:pt>
                <c:pt idx="10">
                  <c:v>1</c:v>
                </c:pt>
                <c:pt idx="11">
                  <c:v>1</c:v>
                </c:pt>
                <c:pt idx="12">
                  <c:v>3</c:v>
                </c:pt>
                <c:pt idx="13">
                  <c:v>10</c:v>
                </c:pt>
              </c:numCache>
            </c:numRef>
          </c:val>
          <c:extLst>
            <c:ext xmlns:c16="http://schemas.microsoft.com/office/drawing/2014/chart" uri="{C3380CC4-5D6E-409C-BE32-E72D297353CC}">
              <c16:uniqueId val="{00000000-D86B-4584-AA1D-A77EB40FB763}"/>
            </c:ext>
          </c:extLst>
        </c:ser>
        <c:dLbls>
          <c:dLblPos val="outEnd"/>
          <c:showLegendKey val="0"/>
          <c:showVal val="1"/>
          <c:showCatName val="0"/>
          <c:showSerName val="0"/>
          <c:showPercent val="0"/>
          <c:showBubbleSize val="0"/>
        </c:dLbls>
        <c:gapWidth val="267"/>
        <c:overlap val="-43"/>
        <c:axId val="413578575"/>
        <c:axId val="413577615"/>
      </c:barChart>
      <c:catAx>
        <c:axId val="41357857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13577615"/>
        <c:crosses val="autoZero"/>
        <c:auto val="1"/>
        <c:lblAlgn val="ctr"/>
        <c:lblOffset val="100"/>
        <c:noMultiLvlLbl val="0"/>
      </c:catAx>
      <c:valAx>
        <c:axId val="41357761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1357857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[world_famous_places_2024.csv.xlsx]Pivot!PivotTable2</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Of Tourism Revenue Million USD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Pivot!$A$20:$A$41</c:f>
              <c:strCache>
                <c:ptCount val="21"/>
                <c:pt idx="0">
                  <c:v>Monument/Memorial</c:v>
                </c:pt>
                <c:pt idx="1">
                  <c:v>Park</c:v>
                </c:pt>
                <c:pt idx="2">
                  <c:v>Monument/Statue</c:v>
                </c:pt>
                <c:pt idx="3">
                  <c:v>Historic Tower</c:v>
                </c:pt>
                <c:pt idx="4">
                  <c:v>Monument/Mausoleum</c:v>
                </c:pt>
                <c:pt idx="5">
                  <c:v>Clock Tower</c:v>
                </c:pt>
                <c:pt idx="6">
                  <c:v>Urban Landmark</c:v>
                </c:pt>
                <c:pt idx="7">
                  <c:v>Bridge</c:v>
                </c:pt>
                <c:pt idx="8">
                  <c:v>Temple Complex</c:v>
                </c:pt>
                <c:pt idx="9">
                  <c:v>Cathedral</c:v>
                </c:pt>
                <c:pt idx="10">
                  <c:v>Monument/Tower</c:v>
                </c:pt>
                <c:pt idx="11">
                  <c:v>Historic Monument</c:v>
                </c:pt>
                <c:pt idx="12">
                  <c:v>Cultural Building</c:v>
                </c:pt>
                <c:pt idx="13">
                  <c:v>Archaeological Site</c:v>
                </c:pt>
                <c:pt idx="14">
                  <c:v>Palace</c:v>
                </c:pt>
                <c:pt idx="15">
                  <c:v>Museum</c:v>
                </c:pt>
                <c:pt idx="16">
                  <c:v>Historic Palace</c:v>
                </c:pt>
                <c:pt idx="17">
                  <c:v>Skyscraper</c:v>
                </c:pt>
                <c:pt idx="18">
                  <c:v>Natural Wonder</c:v>
                </c:pt>
                <c:pt idx="19">
                  <c:v>Theme Park</c:v>
                </c:pt>
                <c:pt idx="20">
                  <c:v>Entertainment District</c:v>
                </c:pt>
              </c:strCache>
            </c:strRef>
          </c:cat>
          <c:val>
            <c:numRef>
              <c:f>Pivot!$B$20:$B$41</c:f>
              <c:numCache>
                <c:formatCode>00" Mil"</c:formatCode>
                <c:ptCount val="21"/>
                <c:pt idx="0">
                  <c:v>25</c:v>
                </c:pt>
                <c:pt idx="1">
                  <c:v>35</c:v>
                </c:pt>
                <c:pt idx="2">
                  <c:v>40</c:v>
                </c:pt>
                <c:pt idx="3">
                  <c:v>55</c:v>
                </c:pt>
                <c:pt idx="4">
                  <c:v>65</c:v>
                </c:pt>
                <c:pt idx="5">
                  <c:v>65</c:v>
                </c:pt>
                <c:pt idx="6">
                  <c:v>70</c:v>
                </c:pt>
                <c:pt idx="7">
                  <c:v>75</c:v>
                </c:pt>
                <c:pt idx="8">
                  <c:v>90</c:v>
                </c:pt>
                <c:pt idx="9">
                  <c:v>90</c:v>
                </c:pt>
                <c:pt idx="10">
                  <c:v>95</c:v>
                </c:pt>
                <c:pt idx="11">
                  <c:v>101.66666666666667</c:v>
                </c:pt>
                <c:pt idx="12">
                  <c:v>110</c:v>
                </c:pt>
                <c:pt idx="13">
                  <c:v>120</c:v>
                </c:pt>
                <c:pt idx="14">
                  <c:v>120</c:v>
                </c:pt>
                <c:pt idx="15">
                  <c:v>120</c:v>
                </c:pt>
                <c:pt idx="16">
                  <c:v>127.5</c:v>
                </c:pt>
                <c:pt idx="17">
                  <c:v>232.5</c:v>
                </c:pt>
                <c:pt idx="18">
                  <c:v>780</c:v>
                </c:pt>
                <c:pt idx="19">
                  <c:v>3850</c:v>
                </c:pt>
                <c:pt idx="20">
                  <c:v>6800</c:v>
                </c:pt>
              </c:numCache>
            </c:numRef>
          </c:val>
          <c:extLst>
            <c:ext xmlns:c16="http://schemas.microsoft.com/office/drawing/2014/chart" uri="{C3380CC4-5D6E-409C-BE32-E72D297353CC}">
              <c16:uniqueId val="{00000000-2F66-4914-96C4-834D9AA8E2D4}"/>
            </c:ext>
          </c:extLst>
        </c:ser>
        <c:dLbls>
          <c:showLegendKey val="0"/>
          <c:showVal val="0"/>
          <c:showCatName val="0"/>
          <c:showSerName val="0"/>
          <c:showPercent val="0"/>
          <c:showBubbleSize val="0"/>
        </c:dLbls>
        <c:gapWidth val="115"/>
        <c:overlap val="-20"/>
        <c:axId val="532632239"/>
        <c:axId val="532631759"/>
      </c:barChart>
      <c:catAx>
        <c:axId val="5326322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631759"/>
        <c:crosses val="autoZero"/>
        <c:auto val="1"/>
        <c:lblAlgn val="ctr"/>
        <c:lblOffset val="100"/>
        <c:noMultiLvlLbl val="0"/>
      </c:catAx>
      <c:valAx>
        <c:axId val="532631759"/>
        <c:scaling>
          <c:orientation val="minMax"/>
        </c:scaling>
        <c:delete val="0"/>
        <c:axPos val="b"/>
        <c:majorGridlines>
          <c:spPr>
            <a:ln w="9525" cap="flat" cmpd="sng" algn="ctr">
              <a:solidFill>
                <a:schemeClr val="tx1">
                  <a:lumMod val="15000"/>
                  <a:lumOff val="85000"/>
                </a:schemeClr>
              </a:solidFill>
              <a:round/>
            </a:ln>
            <a:effectLst/>
          </c:spPr>
        </c:majorGridlines>
        <c:numFmt formatCode="00&quot; Mi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63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[world_famous_places_2024.csv.xlsx]Pivot!PivotTable3</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Pivot!$B$44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Pivot!$A$45:$A$66</c:f>
              <c:strCache>
                <c:ptCount val="21"/>
                <c:pt idx="0">
                  <c:v>Archaeological Site</c:v>
                </c:pt>
                <c:pt idx="1">
                  <c:v>Bridge</c:v>
                </c:pt>
                <c:pt idx="2">
                  <c:v>Cathedral</c:v>
                </c:pt>
                <c:pt idx="3">
                  <c:v>Clock Tower</c:v>
                </c:pt>
                <c:pt idx="4">
                  <c:v>Cultural Building</c:v>
                </c:pt>
                <c:pt idx="5">
                  <c:v>Entertainment District</c:v>
                </c:pt>
                <c:pt idx="6">
                  <c:v>Historic Monument</c:v>
                </c:pt>
                <c:pt idx="7">
                  <c:v>Historic Palace</c:v>
                </c:pt>
                <c:pt idx="8">
                  <c:v>Historic Tower</c:v>
                </c:pt>
                <c:pt idx="9">
                  <c:v>Monument/Mausoleum</c:v>
                </c:pt>
                <c:pt idx="10">
                  <c:v>Monument/Memorial</c:v>
                </c:pt>
                <c:pt idx="11">
                  <c:v>Monument/Statue</c:v>
                </c:pt>
                <c:pt idx="12">
                  <c:v>Monument/Tower</c:v>
                </c:pt>
                <c:pt idx="13">
                  <c:v>Museum</c:v>
                </c:pt>
                <c:pt idx="14">
                  <c:v>Natural Wonder</c:v>
                </c:pt>
                <c:pt idx="15">
                  <c:v>Palace</c:v>
                </c:pt>
                <c:pt idx="16">
                  <c:v>Park</c:v>
                </c:pt>
                <c:pt idx="17">
                  <c:v>Skyscraper</c:v>
                </c:pt>
                <c:pt idx="18">
                  <c:v>Temple Complex</c:v>
                </c:pt>
                <c:pt idx="19">
                  <c:v>Theme Park</c:v>
                </c:pt>
                <c:pt idx="20">
                  <c:v>Urban Landmark</c:v>
                </c:pt>
              </c:strCache>
            </c:strRef>
          </c:cat>
          <c:val>
            <c:numRef>
              <c:f>Pivot!$B$45:$B$66</c:f>
              <c:numCache>
                <c:formatCode>General" Hours"</c:formatCode>
                <c:ptCount val="21"/>
                <c:pt idx="0">
                  <c:v>11</c:v>
                </c:pt>
                <c:pt idx="1">
                  <c:v>2</c:v>
                </c:pt>
                <c:pt idx="2">
                  <c:v>3</c:v>
                </c:pt>
                <c:pt idx="3">
                  <c:v>0.5</c:v>
                </c:pt>
                <c:pt idx="4">
                  <c:v>1.5</c:v>
                </c:pt>
                <c:pt idx="5">
                  <c:v>8</c:v>
                </c:pt>
                <c:pt idx="6">
                  <c:v>9.5</c:v>
                </c:pt>
                <c:pt idx="7">
                  <c:v>7</c:v>
                </c:pt>
                <c:pt idx="8">
                  <c:v>1.5</c:v>
                </c:pt>
                <c:pt idx="9">
                  <c:v>2</c:v>
                </c:pt>
                <c:pt idx="10">
                  <c:v>1</c:v>
                </c:pt>
                <c:pt idx="11">
                  <c:v>3.5</c:v>
                </c:pt>
                <c:pt idx="12">
                  <c:v>2.5</c:v>
                </c:pt>
                <c:pt idx="13">
                  <c:v>4</c:v>
                </c:pt>
                <c:pt idx="14">
                  <c:v>5</c:v>
                </c:pt>
                <c:pt idx="15">
                  <c:v>1</c:v>
                </c:pt>
                <c:pt idx="16">
                  <c:v>3</c:v>
                </c:pt>
                <c:pt idx="17">
                  <c:v>3.5</c:v>
                </c:pt>
                <c:pt idx="18">
                  <c:v>6</c:v>
                </c:pt>
                <c:pt idx="19">
                  <c:v>18</c:v>
                </c:pt>
                <c:pt idx="20">
                  <c:v>1.5</c:v>
                </c:pt>
              </c:numCache>
            </c:numRef>
          </c:val>
          <c:smooth val="0"/>
          <c:extLst>
            <c:ext xmlns:c16="http://schemas.microsoft.com/office/drawing/2014/chart" uri="{C3380CC4-5D6E-409C-BE32-E72D297353CC}">
              <c16:uniqueId val="{00000000-C087-4AEC-AF06-4C7A8AE9E546}"/>
            </c:ext>
          </c:extLst>
        </c:ser>
        <c:dLbls>
          <c:showLegendKey val="0"/>
          <c:showVal val="0"/>
          <c:showCatName val="0"/>
          <c:showSerName val="0"/>
          <c:showPercent val="0"/>
          <c:showBubbleSize val="0"/>
        </c:dLbls>
        <c:marker val="1"/>
        <c:smooth val="0"/>
        <c:axId val="526229375"/>
        <c:axId val="526228415"/>
      </c:lineChart>
      <c:catAx>
        <c:axId val="526229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228415"/>
        <c:crosses val="autoZero"/>
        <c:auto val="1"/>
        <c:lblAlgn val="ctr"/>
        <c:lblOffset val="100"/>
        <c:noMultiLvlLbl val="0"/>
      </c:catAx>
      <c:valAx>
        <c:axId val="52622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quot; Hours&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22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[world_famous_places_2024.csv.xlsx]Pivot!PivotTable6</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Pivot!$B$87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A1E-4279-B9A7-6C159DB3688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A1E-4279-B9A7-6C159DB3688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A1E-4279-B9A7-6C159DB36887}"/>
              </c:ext>
            </c:extLst>
          </c:dPt>
          <c:cat>
            <c:strRef>
              <c:f>Pivot!$A$88:$A$91</c:f>
              <c:strCache>
                <c:ptCount val="3"/>
                <c:pt idx="0">
                  <c:v>High</c:v>
                </c:pt>
                <c:pt idx="1">
                  <c:v>Low</c:v>
                </c:pt>
                <c:pt idx="2">
                  <c:v>Medium</c:v>
                </c:pt>
              </c:strCache>
            </c:strRef>
          </c:cat>
          <c:val>
            <c:numRef>
              <c:f>Pivot!$B$88:$B$91</c:f>
              <c:numCache>
                <c:formatCode>General</c:formatCode>
                <c:ptCount val="3"/>
                <c:pt idx="0">
                  <c:v>16</c:v>
                </c:pt>
                <c:pt idx="1">
                  <c:v>6</c:v>
                </c:pt>
                <c:pt idx="2">
                  <c:v>8</c:v>
                </c:pt>
              </c:numCache>
            </c:numRef>
          </c:val>
          <c:extLst>
            <c:ext xmlns:c16="http://schemas.microsoft.com/office/drawing/2014/chart" uri="{C3380CC4-5D6E-409C-BE32-E72D297353CC}">
              <c16:uniqueId val="{00000006-FA1E-4279-B9A7-6C159DB3688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304800</xdr:colOff>
      <xdr:row>15</xdr:row>
      <xdr:rowOff>0</xdr:rowOff>
    </xdr:to>
    <xdr:graphicFrame macro="">
      <xdr:nvGraphicFramePr>
        <xdr:cNvPr id="2" name="Chart 1">
          <a:extLst>
            <a:ext uri="{FF2B5EF4-FFF2-40B4-BE49-F238E27FC236}">
              <a16:creationId xmlns:a16="http://schemas.microsoft.com/office/drawing/2014/main" id="{89371FBE-47D8-A48F-F6D2-38706AE7B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18</xdr:row>
      <xdr:rowOff>7620</xdr:rowOff>
    </xdr:from>
    <xdr:to>
      <xdr:col>13</xdr:col>
      <xdr:colOff>228600</xdr:colOff>
      <xdr:row>35</xdr:row>
      <xdr:rowOff>118110</xdr:rowOff>
    </xdr:to>
    <xdr:graphicFrame macro="">
      <xdr:nvGraphicFramePr>
        <xdr:cNvPr id="4" name="Chart 3">
          <a:extLst>
            <a:ext uri="{FF2B5EF4-FFF2-40B4-BE49-F238E27FC236}">
              <a16:creationId xmlns:a16="http://schemas.microsoft.com/office/drawing/2014/main" id="{80B2E640-9ED7-3F9C-5007-A4C2110C9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43</xdr:row>
      <xdr:rowOff>3810</xdr:rowOff>
    </xdr:from>
    <xdr:to>
      <xdr:col>10</xdr:col>
      <xdr:colOff>312420</xdr:colOff>
      <xdr:row>58</xdr:row>
      <xdr:rowOff>3810</xdr:rowOff>
    </xdr:to>
    <xdr:graphicFrame macro="">
      <xdr:nvGraphicFramePr>
        <xdr:cNvPr id="5" name="Chart 4">
          <a:extLst>
            <a:ext uri="{FF2B5EF4-FFF2-40B4-BE49-F238E27FC236}">
              <a16:creationId xmlns:a16="http://schemas.microsoft.com/office/drawing/2014/main" id="{DA3A6463-17AB-AB75-D4A4-4A8015B14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15240</xdr:colOff>
      <xdr:row>76</xdr:row>
      <xdr:rowOff>3810</xdr:rowOff>
    </xdr:from>
    <xdr:to>
      <xdr:col>10</xdr:col>
      <xdr:colOff>320040</xdr:colOff>
      <xdr:row>91</xdr:row>
      <xdr:rowOff>3810</xdr:rowOff>
    </xdr:to>
    <xdr:graphicFrame macro="">
      <xdr:nvGraphicFramePr>
        <xdr:cNvPr id="6" name="Chart 5">
          <a:extLst>
            <a:ext uri="{FF2B5EF4-FFF2-40B4-BE49-F238E27FC236}">
              <a16:creationId xmlns:a16="http://schemas.microsoft.com/office/drawing/2014/main" id="{575EF84A-41FF-129A-E769-52F7A0531F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298973</xdr:colOff>
      <xdr:row>2</xdr:row>
      <xdr:rowOff>7620</xdr:rowOff>
    </xdr:from>
    <xdr:to>
      <xdr:col>13</xdr:col>
      <xdr:colOff>565673</xdr:colOff>
      <xdr:row>16</xdr:row>
      <xdr:rowOff>129540</xdr:rowOff>
    </xdr:to>
    <xdr:graphicFrame macro="">
      <xdr:nvGraphicFramePr>
        <xdr:cNvPr id="4" name="Chart 3">
          <a:extLst>
            <a:ext uri="{FF2B5EF4-FFF2-40B4-BE49-F238E27FC236}">
              <a16:creationId xmlns:a16="http://schemas.microsoft.com/office/drawing/2014/main" id="{2451D819-9620-4E90-A52E-BC5176304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535193</xdr:colOff>
      <xdr:row>2</xdr:row>
      <xdr:rowOff>7620</xdr:rowOff>
    </xdr:from>
    <xdr:to>
      <xdr:col>23</xdr:col>
      <xdr:colOff>0</xdr:colOff>
      <xdr:row>16</xdr:row>
      <xdr:rowOff>129540</xdr:rowOff>
    </xdr:to>
    <xdr:graphicFrame macro="">
      <xdr:nvGraphicFramePr>
        <xdr:cNvPr id="6" name="Chart 5">
          <a:extLst>
            <a:ext uri="{FF2B5EF4-FFF2-40B4-BE49-F238E27FC236}">
              <a16:creationId xmlns:a16="http://schemas.microsoft.com/office/drawing/2014/main" id="{27296999-5C67-46F4-9A2B-B5455462F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291353</xdr:colOff>
      <xdr:row>16</xdr:row>
      <xdr:rowOff>121920</xdr:rowOff>
    </xdr:from>
    <xdr:to>
      <xdr:col>13</xdr:col>
      <xdr:colOff>542813</xdr:colOff>
      <xdr:row>31</xdr:row>
      <xdr:rowOff>121920</xdr:rowOff>
    </xdr:to>
    <xdr:graphicFrame macro="">
      <xdr:nvGraphicFramePr>
        <xdr:cNvPr id="7" name="Chart 6">
          <a:extLst>
            <a:ext uri="{FF2B5EF4-FFF2-40B4-BE49-F238E27FC236}">
              <a16:creationId xmlns:a16="http://schemas.microsoft.com/office/drawing/2014/main" id="{508773C8-7F40-4AE5-AD21-809A3628D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535193</xdr:colOff>
      <xdr:row>16</xdr:row>
      <xdr:rowOff>129540</xdr:rowOff>
    </xdr:from>
    <xdr:to>
      <xdr:col>23</xdr:col>
      <xdr:colOff>1</xdr:colOff>
      <xdr:row>31</xdr:row>
      <xdr:rowOff>125505</xdr:rowOff>
    </xdr:to>
    <xdr:graphicFrame macro="">
      <xdr:nvGraphicFramePr>
        <xdr:cNvPr id="8" name="Chart 7">
          <a:extLst>
            <a:ext uri="{FF2B5EF4-FFF2-40B4-BE49-F238E27FC236}">
              <a16:creationId xmlns:a16="http://schemas.microsoft.com/office/drawing/2014/main" id="{FFBE4566-7FF9-40E2-B2F8-38D9E251D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xdr:colOff>
      <xdr:row>15</xdr:row>
      <xdr:rowOff>99060</xdr:rowOff>
    </xdr:from>
    <xdr:to>
      <xdr:col>3</xdr:col>
      <xdr:colOff>7620</xdr:colOff>
      <xdr:row>29</xdr:row>
      <xdr:rowOff>5715</xdr:rowOff>
    </xdr:to>
    <mc:AlternateContent xmlns:mc="http://schemas.openxmlformats.org/markup-compatibility/2006" xmlns:a14="http://schemas.microsoft.com/office/drawing/2010/main">
      <mc:Choice Requires="a14">
        <xdr:graphicFrame macro="">
          <xdr:nvGraphicFramePr>
            <xdr:cNvPr id="10" name="Type">
              <a:extLst>
                <a:ext uri="{FF2B5EF4-FFF2-40B4-BE49-F238E27FC236}">
                  <a16:creationId xmlns:a16="http://schemas.microsoft.com/office/drawing/2014/main" id="{F9F0F902-F58E-7EAE-D978-6EEE174AA702}"/>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7620" y="3039484"/>
              <a:ext cx="1828800" cy="241677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15240</xdr:rowOff>
    </xdr:from>
    <xdr:to>
      <xdr:col>3</xdr:col>
      <xdr:colOff>0</xdr:colOff>
      <xdr:row>15</xdr:row>
      <xdr:rowOff>104775</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44FCE6CA-E48C-3E90-DECD-37B058A6546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624840"/>
              <a:ext cx="1828800" cy="242035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44824</xdr:colOff>
      <xdr:row>2</xdr:row>
      <xdr:rowOff>62753</xdr:rowOff>
    </xdr:from>
    <xdr:to>
      <xdr:col>6</xdr:col>
      <xdr:colOff>251012</xdr:colOff>
      <xdr:row>9</xdr:row>
      <xdr:rowOff>71718</xdr:rowOff>
    </xdr:to>
    <xdr:sp macro="" textlink="">
      <xdr:nvSpPr>
        <xdr:cNvPr id="3" name="Rectangle 2">
          <a:extLst>
            <a:ext uri="{FF2B5EF4-FFF2-40B4-BE49-F238E27FC236}">
              <a16:creationId xmlns:a16="http://schemas.microsoft.com/office/drawing/2014/main" id="{CDDB92BA-58D3-AC59-EFE9-19083F216849}"/>
            </a:ext>
          </a:extLst>
        </xdr:cNvPr>
        <xdr:cNvSpPr/>
      </xdr:nvSpPr>
      <xdr:spPr>
        <a:xfrm>
          <a:off x="1873624" y="726141"/>
          <a:ext cx="2034988" cy="1264024"/>
        </a:xfrm>
        <a:prstGeom prst="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700" b="0">
              <a:latin typeface="+mn-lt"/>
            </a:rPr>
            <a:t>Total</a:t>
          </a:r>
          <a:r>
            <a:rPr lang="en-ID" sz="1700" b="0" baseline="0">
              <a:latin typeface="+mn-lt"/>
            </a:rPr>
            <a:t> Famous Places</a:t>
          </a:r>
        </a:p>
        <a:p>
          <a:pPr algn="l"/>
          <a:r>
            <a:rPr lang="en-ID" sz="1700" b="1" baseline="0">
              <a:latin typeface="+mn-lt"/>
            </a:rPr>
            <a:t>31</a:t>
          </a:r>
          <a:endParaRPr lang="en-ID" sz="1700" b="1">
            <a:latin typeface="+mn-lt"/>
          </a:endParaRPr>
        </a:p>
      </xdr:txBody>
    </xdr:sp>
    <xdr:clientData/>
  </xdr:twoCellAnchor>
  <xdr:twoCellAnchor>
    <xdr:from>
      <xdr:col>3</xdr:col>
      <xdr:colOff>44823</xdr:colOff>
      <xdr:row>9</xdr:row>
      <xdr:rowOff>152400</xdr:rowOff>
    </xdr:from>
    <xdr:to>
      <xdr:col>6</xdr:col>
      <xdr:colOff>251011</xdr:colOff>
      <xdr:row>16</xdr:row>
      <xdr:rowOff>161365</xdr:rowOff>
    </xdr:to>
    <xdr:sp macro="" textlink="">
      <xdr:nvSpPr>
        <xdr:cNvPr id="5" name="Rectangle 4">
          <a:extLst>
            <a:ext uri="{FF2B5EF4-FFF2-40B4-BE49-F238E27FC236}">
              <a16:creationId xmlns:a16="http://schemas.microsoft.com/office/drawing/2014/main" id="{03037550-7E1A-430C-9420-AF323520DE0B}"/>
            </a:ext>
          </a:extLst>
        </xdr:cNvPr>
        <xdr:cNvSpPr/>
      </xdr:nvSpPr>
      <xdr:spPr>
        <a:xfrm>
          <a:off x="1873623" y="1981200"/>
          <a:ext cx="2034988" cy="1264024"/>
        </a:xfrm>
        <a:prstGeom prst="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700" b="0">
              <a:latin typeface="+mn-lt"/>
            </a:rPr>
            <a:t>Total</a:t>
          </a:r>
          <a:r>
            <a:rPr lang="en-ID" sz="1700" b="0" baseline="0">
              <a:latin typeface="+mn-lt"/>
            </a:rPr>
            <a:t> Tourism Revenue</a:t>
          </a:r>
        </a:p>
        <a:p>
          <a:pPr algn="l"/>
          <a:r>
            <a:rPr lang="en-ID" sz="1700" b="1" i="0" u="none" strike="noStrike">
              <a:solidFill>
                <a:schemeClr val="lt1"/>
              </a:solidFill>
              <a:effectLst/>
              <a:latin typeface="+mn-lt"/>
              <a:ea typeface="+mn-ea"/>
              <a:cs typeface="+mn-cs"/>
            </a:rPr>
            <a:t>17805 Mil</a:t>
          </a:r>
          <a:r>
            <a:rPr lang="en-ID" sz="1700" b="1">
              <a:effectLst/>
              <a:latin typeface="+mn-lt"/>
            </a:rPr>
            <a:t> </a:t>
          </a:r>
          <a:endParaRPr lang="en-ID" sz="1700" b="1">
            <a:latin typeface="+mn-lt"/>
          </a:endParaRPr>
        </a:p>
      </xdr:txBody>
    </xdr:sp>
    <xdr:clientData/>
  </xdr:twoCellAnchor>
  <xdr:twoCellAnchor>
    <xdr:from>
      <xdr:col>3</xdr:col>
      <xdr:colOff>44824</xdr:colOff>
      <xdr:row>17</xdr:row>
      <xdr:rowOff>53788</xdr:rowOff>
    </xdr:from>
    <xdr:to>
      <xdr:col>6</xdr:col>
      <xdr:colOff>251012</xdr:colOff>
      <xdr:row>24</xdr:row>
      <xdr:rowOff>62753</xdr:rowOff>
    </xdr:to>
    <xdr:sp macro="" textlink="">
      <xdr:nvSpPr>
        <xdr:cNvPr id="9" name="Rectangle 8">
          <a:extLst>
            <a:ext uri="{FF2B5EF4-FFF2-40B4-BE49-F238E27FC236}">
              <a16:creationId xmlns:a16="http://schemas.microsoft.com/office/drawing/2014/main" id="{DFF42BA4-9FB0-46BF-B879-8B4176637AE6}"/>
            </a:ext>
          </a:extLst>
        </xdr:cNvPr>
        <xdr:cNvSpPr/>
      </xdr:nvSpPr>
      <xdr:spPr>
        <a:xfrm>
          <a:off x="1873624" y="3316941"/>
          <a:ext cx="2034988" cy="1264024"/>
        </a:xfrm>
        <a:prstGeom prst="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700">
              <a:latin typeface="+mn-lt"/>
            </a:rPr>
            <a:t>Total</a:t>
          </a:r>
          <a:r>
            <a:rPr lang="en-ID" sz="1700" baseline="0">
              <a:latin typeface="+mn-lt"/>
            </a:rPr>
            <a:t> </a:t>
          </a:r>
          <a:r>
            <a:rPr lang="en-ID" sz="1700">
              <a:latin typeface="+mn-lt"/>
            </a:rPr>
            <a:t>Average Visit</a:t>
          </a:r>
          <a:r>
            <a:rPr lang="en-ID" sz="1700" baseline="0">
              <a:latin typeface="+mn-lt"/>
            </a:rPr>
            <a:t> Duration</a:t>
          </a:r>
        </a:p>
        <a:p>
          <a:pPr algn="l"/>
          <a:r>
            <a:rPr lang="en-ID" sz="1700" b="1" i="0" u="none" strike="noStrike">
              <a:solidFill>
                <a:schemeClr val="lt1"/>
              </a:solidFill>
              <a:effectLst/>
              <a:latin typeface="+mn-lt"/>
              <a:ea typeface="+mn-ea"/>
              <a:cs typeface="+mn-cs"/>
            </a:rPr>
            <a:t>95 Hours</a:t>
          </a:r>
          <a:r>
            <a:rPr lang="en-ID" sz="1700">
              <a:effectLst/>
              <a:latin typeface="+mn-lt"/>
            </a:rPr>
            <a:t> </a:t>
          </a:r>
          <a:endParaRPr lang="en-ID" sz="1700">
            <a:latin typeface="+mn-lt"/>
          </a:endParaRPr>
        </a:p>
      </xdr:txBody>
    </xdr:sp>
    <xdr:clientData/>
  </xdr:twoCellAnchor>
  <xdr:twoCellAnchor>
    <xdr:from>
      <xdr:col>3</xdr:col>
      <xdr:colOff>44824</xdr:colOff>
      <xdr:row>24</xdr:row>
      <xdr:rowOff>170329</xdr:rowOff>
    </xdr:from>
    <xdr:to>
      <xdr:col>6</xdr:col>
      <xdr:colOff>251012</xdr:colOff>
      <xdr:row>32</xdr:row>
      <xdr:rowOff>0</xdr:rowOff>
    </xdr:to>
    <xdr:sp macro="" textlink="">
      <xdr:nvSpPr>
        <xdr:cNvPr id="12" name="Rectangle 11">
          <a:extLst>
            <a:ext uri="{FF2B5EF4-FFF2-40B4-BE49-F238E27FC236}">
              <a16:creationId xmlns:a16="http://schemas.microsoft.com/office/drawing/2014/main" id="{D971BE36-1F39-4EBA-B39C-6E2182A91188}"/>
            </a:ext>
          </a:extLst>
        </xdr:cNvPr>
        <xdr:cNvSpPr/>
      </xdr:nvSpPr>
      <xdr:spPr>
        <a:xfrm>
          <a:off x="1873624" y="4688541"/>
          <a:ext cx="2034988" cy="1264024"/>
        </a:xfrm>
        <a:prstGeom prst="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700" b="0">
              <a:latin typeface="+mn-lt"/>
            </a:rPr>
            <a:t>Most Popular</a:t>
          </a:r>
          <a:r>
            <a:rPr lang="en-ID" sz="1700" b="0" baseline="0">
              <a:latin typeface="+mn-lt"/>
            </a:rPr>
            <a:t> Country</a:t>
          </a:r>
        </a:p>
        <a:p>
          <a:pPr algn="l"/>
          <a:r>
            <a:rPr lang="en-ID" sz="1700" b="1" baseline="0">
              <a:latin typeface="+mn-lt"/>
            </a:rPr>
            <a:t>United States</a:t>
          </a:r>
          <a:endParaRPr lang="en-ID" sz="1700" b="1">
            <a:latin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veel Z" refreshedDate="46043.942667708332" createdVersion="8" refreshedVersion="8" minRefreshableVersion="3" recordCount="30" xr:uid="{28FBE07F-3FC6-4461-A852-0DBDF932B235}">
  <cacheSource type="worksheet">
    <worksheetSource name="Table1"/>
  </cacheSource>
  <cacheFields count="15">
    <cacheField name="Place Name" numFmtId="0">
      <sharedItems/>
    </cacheField>
    <cacheField name="Country" numFmtId="0">
      <sharedItems count="14">
        <s v="France"/>
        <s v="United States"/>
        <s v="China"/>
        <s v="India"/>
        <s v="Italy"/>
        <s v="Australia"/>
        <s v="Peru"/>
        <s v="Cambodia"/>
        <s v="Spain"/>
        <s v="Egypt"/>
        <s v="Greece"/>
        <s v="United Arab Emirates"/>
        <s v="United Kingdom"/>
        <s v="Brazil"/>
      </sharedItems>
    </cacheField>
    <cacheField name="City" numFmtId="0">
      <sharedItems/>
    </cacheField>
    <cacheField name="Annual Visitors Millions" numFmtId="0">
      <sharedItems containsSemiMixedTypes="0" containsString="0" containsNumber="1" minValue="1.5" maxValue="50"/>
    </cacheField>
    <cacheField name="Type" numFmtId="0">
      <sharedItems count="21">
        <s v="Monument/Tower"/>
        <s v="Urban Landmark"/>
        <s v="Museum"/>
        <s v="Historic Monument"/>
        <s v="Monument/Mausoleum"/>
        <s v="Monument/Statue"/>
        <s v="Cultural Building"/>
        <s v="Archaeological Site"/>
        <s v="Historic Palace"/>
        <s v="Temple Complex"/>
        <s v="Cathedral"/>
        <s v="Park"/>
        <s v="Entertainment District"/>
        <s v="Skyscraper"/>
        <s v="Bridge"/>
        <s v="Monument/Memorial"/>
        <s v="Theme Park"/>
        <s v="Natural Wonder"/>
        <s v="Historic Tower"/>
        <s v="Clock Tower"/>
        <s v="Palace"/>
      </sharedItems>
    </cacheField>
    <cacheField name="UNESCO World Heritage" numFmtId="0">
      <sharedItems/>
    </cacheField>
    <cacheField name="Year Built" numFmtId="0">
      <sharedItems containsMixedTypes="1" containsNumber="1" containsInteger="1" minValue="80" maxValue="2550"/>
    </cacheField>
    <cacheField name="Entry Fee USD" numFmtId="0">
      <sharedItems containsSemiMixedTypes="0" containsString="0" containsNumber="1" containsInteger="1" minValue="0" maxValue="109"/>
    </cacheField>
    <cacheField name="Best Visit Month" numFmtId="0">
      <sharedItems/>
    </cacheField>
    <cacheField name="Region2" numFmtId="0">
      <sharedItems/>
    </cacheField>
    <cacheField name="Tourism Revenue Million USD" numFmtId="164">
      <sharedItems containsSemiMixedTypes="0" containsString="0" containsNumber="1" containsInteger="1" minValue="25" maxValue="6800"/>
    </cacheField>
    <cacheField name="Average Visit Duration Hours" numFmtId="165">
      <sharedItems containsSemiMixedTypes="0" containsString="0" containsNumber="1" minValue="0.5" maxValue="10"/>
    </cacheField>
    <cacheField name="Revenue Per Hour" numFmtId="166">
      <sharedItems containsSemiMixedTypes="0" containsString="0" containsNumber="1" minValue="11.666666666666666" maxValue="850"/>
    </cacheField>
    <cacheField name="Popularity Tier" numFmtId="166">
      <sharedItems count="3">
        <s v="High"/>
        <s v="Medium"/>
        <s v="Low"/>
      </sharedItems>
    </cacheField>
    <cacheField name="Famous For" numFmtId="0">
      <sharedItems/>
    </cacheField>
  </cacheFields>
  <extLst>
    <ext xmlns:x14="http://schemas.microsoft.com/office/spreadsheetml/2009/9/main" uri="{725AE2AE-9491-48be-B2B4-4EB974FC3084}">
      <x14:pivotCacheDefinition pivotCacheId="44254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Eiffel Tower"/>
    <x v="0"/>
    <s v="Paris"/>
    <n v="7"/>
    <x v="0"/>
    <s v="No"/>
    <n v="1889"/>
    <n v="35"/>
    <s v="May-June/Sept-Oct"/>
    <s v="Western Europe"/>
    <n v="95"/>
    <n v="2.5"/>
    <n v="38"/>
    <x v="0"/>
    <s v="Iconic iron lattice tower, symbol of Paris"/>
  </r>
  <r>
    <s v="Times Square"/>
    <x v="1"/>
    <s v="New York City"/>
    <n v="50"/>
    <x v="1"/>
    <s v="No"/>
    <n v="1904"/>
    <n v="0"/>
    <s v="Apr-June/Sept-Nov"/>
    <s v="North America"/>
    <n v="70"/>
    <n v="1.5"/>
    <n v="46.666666666666664"/>
    <x v="1"/>
    <s v="Bright lights, Broadway shows, New Year's Eve ball drop"/>
  </r>
  <r>
    <s v="Louvre Museum"/>
    <x v="0"/>
    <s v="Paris"/>
    <n v="8.6999999999999993"/>
    <x v="2"/>
    <s v="Yes"/>
    <n v="1793"/>
    <n v="22"/>
    <s v="Oct-March"/>
    <s v="Western Europe"/>
    <n v="120"/>
    <n v="4"/>
    <n v="30"/>
    <x v="0"/>
    <s v="World's most visited museum, home to Mona Lisa"/>
  </r>
  <r>
    <s v="Great Wall of China"/>
    <x v="2"/>
    <s v="Beijing/Multiple"/>
    <n v="10"/>
    <x v="3"/>
    <s v="Yes"/>
    <s v="220 BC - 1644 AD"/>
    <n v="10"/>
    <s v="Apr-May/Sept-Oct"/>
    <s v="East Asia"/>
    <n v="180"/>
    <n v="4"/>
    <n v="45"/>
    <x v="0"/>
    <s v="Ancient defensive structure visible from space"/>
  </r>
  <r>
    <s v="Taj Mahal"/>
    <x v="3"/>
    <s v="Agra"/>
    <n v="7.5"/>
    <x v="4"/>
    <s v="Yes"/>
    <n v="1653"/>
    <n v="15"/>
    <s v="Oct-March"/>
    <s v="South Asia"/>
    <n v="65"/>
    <n v="2"/>
    <n v="32.5"/>
    <x v="1"/>
    <s v="White marble mausoleum, symbol of love"/>
  </r>
  <r>
    <s v="Colosseum"/>
    <x v="4"/>
    <s v="Rome"/>
    <n v="7.65"/>
    <x v="3"/>
    <s v="Yes"/>
    <n v="80"/>
    <n v="18"/>
    <s v="Apr-May/Sept-Oct"/>
    <s v="Southern Europe"/>
    <n v="85"/>
    <n v="2.5"/>
    <n v="34"/>
    <x v="0"/>
    <s v="Ancient Roman amphitheater for gladiator battles"/>
  </r>
  <r>
    <s v="Statue of Liberty"/>
    <x v="1"/>
    <s v="New York City"/>
    <n v="4.3"/>
    <x v="5"/>
    <s v="Yes"/>
    <n v="1886"/>
    <n v="25"/>
    <s v="May-Sept"/>
    <s v="North America"/>
    <n v="45"/>
    <n v="2"/>
    <n v="22.5"/>
    <x v="2"/>
    <s v="Symbol of freedom and democracy"/>
  </r>
  <r>
    <s v="Sydney Opera House"/>
    <x v="5"/>
    <s v="Sydney"/>
    <n v="8.1999999999999993"/>
    <x v="6"/>
    <s v="Yes"/>
    <n v="1973"/>
    <n v="49"/>
    <s v="Sept-Nov"/>
    <s v="Oceania"/>
    <n v="110"/>
    <n v="1.5"/>
    <n v="73.333333333333329"/>
    <x v="0"/>
    <s v="Unique sail-like design, performing arts center"/>
  </r>
  <r>
    <s v="Machu Picchu"/>
    <x v="6"/>
    <s v="Cusco Region"/>
    <n v="1.5"/>
    <x v="7"/>
    <s v="Yes"/>
    <n v="1450"/>
    <n v="70"/>
    <s v="Apr-Oct"/>
    <s v="South America"/>
    <n v="180"/>
    <n v="8"/>
    <n v="22.5"/>
    <x v="0"/>
    <s v="Ancient Incan citadel in the Andes mountains"/>
  </r>
  <r>
    <s v="Forbidden City"/>
    <x v="2"/>
    <s v="Beijing"/>
    <n v="9"/>
    <x v="8"/>
    <s v="Yes"/>
    <n v="1420"/>
    <n v="8"/>
    <s v="Apr-May/Sept-Oct"/>
    <s v="East Asia"/>
    <n v="75"/>
    <n v="3"/>
    <n v="25"/>
    <x v="1"/>
    <s v="Imperial palace of Ming and Qing dynasties"/>
  </r>
  <r>
    <s v="Angkor Wat"/>
    <x v="7"/>
    <s v="Siem Reap"/>
    <n v="2.6"/>
    <x v="9"/>
    <s v="Yes"/>
    <n v="1150"/>
    <n v="37"/>
    <s v="Nov-Feb"/>
    <s v="Southeast Asia"/>
    <n v="90"/>
    <n v="6"/>
    <n v="15"/>
    <x v="0"/>
    <s v="Largest religious monument, Hindu-Buddhist temple"/>
  </r>
  <r>
    <s v="Notre-Dame Cathedral"/>
    <x v="0"/>
    <s v="Paris"/>
    <n v="13"/>
    <x v="10"/>
    <s v="Yes"/>
    <n v="1345"/>
    <n v="0"/>
    <s v="Apr-June/Sept-Oct"/>
    <s v="Western Europe"/>
    <n v="50"/>
    <n v="1"/>
    <n v="50"/>
    <x v="2"/>
    <s v="Gothic masterpiece, medieval Catholic cathedral"/>
  </r>
  <r>
    <s v="Central Park"/>
    <x v="1"/>
    <s v="New York City"/>
    <n v="42"/>
    <x v="11"/>
    <s v="No"/>
    <n v="1857"/>
    <n v="0"/>
    <s v="May-Sept"/>
    <s v="North America"/>
    <n v="35"/>
    <n v="3"/>
    <n v="11.666666666666666"/>
    <x v="2"/>
    <s v="Urban park oasis in Manhattan"/>
  </r>
  <r>
    <s v="Las Vegas Strip"/>
    <x v="1"/>
    <s v="Las Vegas"/>
    <n v="41.7"/>
    <x v="12"/>
    <s v="No"/>
    <n v="1905"/>
    <n v="0"/>
    <s v="March-May/Sept-Nov"/>
    <s v="North America"/>
    <n v="6800"/>
    <n v="8"/>
    <n v="850"/>
    <x v="0"/>
    <s v="Casino resorts, entertainment, nightlife"/>
  </r>
  <r>
    <s v="Empire State Building"/>
    <x v="1"/>
    <s v="New York City"/>
    <n v="4.5999999999999996"/>
    <x v="13"/>
    <s v="No"/>
    <n v="1931"/>
    <n v="44"/>
    <s v="May-Sept"/>
    <s v="North America"/>
    <n v="115"/>
    <n v="1.5"/>
    <n v="76.666666666666671"/>
    <x v="0"/>
    <s v="Art Deco skyscraper, NYC icon"/>
  </r>
  <r>
    <s v="Golden Gate Bridge"/>
    <x v="1"/>
    <s v="San Francisco"/>
    <n v="15"/>
    <x v="14"/>
    <s v="No"/>
    <n v="1937"/>
    <n v="0"/>
    <s v="Sept-Nov"/>
    <s v="North America"/>
    <n v="80"/>
    <n v="1"/>
    <n v="80"/>
    <x v="1"/>
    <s v="Suspension bridge, engineering marvel"/>
  </r>
  <r>
    <s v="Lincoln Memorial"/>
    <x v="1"/>
    <s v="Washington D.C."/>
    <n v="8.5"/>
    <x v="15"/>
    <s v="No"/>
    <n v="1922"/>
    <n v="0"/>
    <s v="Apr-June/Sept-Oct"/>
    <s v="North America"/>
    <n v="25"/>
    <n v="1"/>
    <n v="25"/>
    <x v="2"/>
    <s v="Memorial to President Abraham Lincoln"/>
  </r>
  <r>
    <s v="Sagrada Familia"/>
    <x v="8"/>
    <s v="Barcelona"/>
    <n v="4.7"/>
    <x v="10"/>
    <s v="Yes"/>
    <s v="Under Construction (Started 1882)"/>
    <n v="26"/>
    <s v="Apr-June/Sept-Oct"/>
    <s v="Southern Europe"/>
    <n v="130"/>
    <n v="2"/>
    <n v="65"/>
    <x v="0"/>
    <s v="GaudÃ­'s unfinished basilica, unique architecture"/>
  </r>
  <r>
    <s v="Disneyland (California)"/>
    <x v="1"/>
    <s v="Anaheim"/>
    <n v="16"/>
    <x v="16"/>
    <s v="No"/>
    <n v="1955"/>
    <n v="104"/>
    <s v="Apr-May/Sept-Nov"/>
    <s v="North America"/>
    <n v="3200"/>
    <n v="8"/>
    <n v="400"/>
    <x v="0"/>
    <s v="Original Disney theme park"/>
  </r>
  <r>
    <s v="Magic Kingdom (Orlando)"/>
    <x v="1"/>
    <s v="Orlando"/>
    <n v="17"/>
    <x v="16"/>
    <s v="No"/>
    <n v="1971"/>
    <n v="109"/>
    <s v="Jan-May/Sept-Dec"/>
    <s v="North America"/>
    <n v="4500"/>
    <n v="10"/>
    <n v="450"/>
    <x v="0"/>
    <s v="Disney World's flagship park with Cinderella Castle"/>
  </r>
  <r>
    <s v="Grand Canyon"/>
    <x v="1"/>
    <s v="Arizona"/>
    <n v="6"/>
    <x v="17"/>
    <s v="Yes"/>
    <s v="Natural Formation"/>
    <n v="35"/>
    <s v="March-May/Sept-Nov"/>
    <s v="North America"/>
    <n v="780"/>
    <n v="5"/>
    <n v="156"/>
    <x v="0"/>
    <s v="Massive canyon carved by Colorado River"/>
  </r>
  <r>
    <s v="Great Pyramid of Giza"/>
    <x v="9"/>
    <s v="Cairo"/>
    <n v="2.8"/>
    <x v="3"/>
    <s v="Yes"/>
    <n v="2550"/>
    <n v="20"/>
    <s v="Oct-Apr"/>
    <s v="North Africa"/>
    <n v="40"/>
    <n v="3"/>
    <n v="13.333333333333334"/>
    <x v="2"/>
    <s v="Only remaining ancient wonder, pharaoh's tomb"/>
  </r>
  <r>
    <s v="Leaning Tower of Pisa"/>
    <x v="4"/>
    <s v="Pisa"/>
    <n v="5"/>
    <x v="18"/>
    <s v="Yes"/>
    <n v="1372"/>
    <n v="20"/>
    <s v="Apr-May/Sept-Oct"/>
    <s v="Southern Europe"/>
    <n v="55"/>
    <n v="1.5"/>
    <n v="36.666666666666664"/>
    <x v="1"/>
    <s v="Tilted bell tower, architectural anomaly"/>
  </r>
  <r>
    <s v="Palace of Versailles"/>
    <x v="0"/>
    <s v="Versailles"/>
    <n v="7.7"/>
    <x v="8"/>
    <s v="Yes"/>
    <n v="1682"/>
    <n v="21"/>
    <s v="Apr-June/Sept-Oct"/>
    <s v="Western Europe"/>
    <n v="180"/>
    <n v="4"/>
    <n v="45"/>
    <x v="0"/>
    <s v="Opulent royal residence, Hall of Mirrors"/>
  </r>
  <r>
    <s v="Acropolis"/>
    <x v="10"/>
    <s v="Athens"/>
    <n v="4"/>
    <x v="7"/>
    <s v="Yes"/>
    <n v="447"/>
    <n v="13"/>
    <s v="Apr-May/Sept-Oct"/>
    <s v="Southern Europe"/>
    <n v="60"/>
    <n v="3"/>
    <n v="20"/>
    <x v="1"/>
    <s v="Ancient citadel, Parthenon temple"/>
  </r>
  <r>
    <s v="Burj Khalifa"/>
    <x v="11"/>
    <s v="Dubai"/>
    <n v="6"/>
    <x v="13"/>
    <s v="No"/>
    <n v="2010"/>
    <n v="45"/>
    <s v="Nov-March"/>
    <s v="Middle East"/>
    <n v="350"/>
    <n v="2"/>
    <n v="175"/>
    <x v="0"/>
    <s v="Tallest building in the world"/>
  </r>
  <r>
    <s v="Big Ben"/>
    <x v="12"/>
    <s v="London"/>
    <n v="5.5"/>
    <x v="19"/>
    <s v="Yes"/>
    <n v="1859"/>
    <n v="0"/>
    <s v="Apr-June/Sept-Oct"/>
    <s v="Western Europe"/>
    <n v="65"/>
    <n v="0.5"/>
    <n v="130"/>
    <x v="1"/>
    <s v="Clock tower, Westminster Palace"/>
  </r>
  <r>
    <s v="Tower Bridge"/>
    <x v="12"/>
    <s v="London"/>
    <n v="6.8"/>
    <x v="14"/>
    <s v="No"/>
    <n v="1894"/>
    <n v="0"/>
    <s v="May-Sept"/>
    <s v="Western Europe"/>
    <n v="70"/>
    <n v="1"/>
    <n v="70"/>
    <x v="1"/>
    <s v="Victorian Gothic suspension bridge"/>
  </r>
  <r>
    <s v="Buckingham Palace"/>
    <x v="12"/>
    <s v="London"/>
    <n v="15"/>
    <x v="20"/>
    <s v="No"/>
    <n v="1703"/>
    <n v="0"/>
    <s v="June-Sept"/>
    <s v="Western Europe"/>
    <n v="120"/>
    <n v="1"/>
    <n v="120"/>
    <x v="0"/>
    <s v="Official residence of British monarch"/>
  </r>
  <r>
    <s v="Christ the Redeemer"/>
    <x v="13"/>
    <s v="Rio de Janeiro"/>
    <n v="2.2000000000000002"/>
    <x v="5"/>
    <s v="No"/>
    <n v="1931"/>
    <n v="12"/>
    <s v="Apr-June/Sept-Nov"/>
    <s v="South America"/>
    <n v="35"/>
    <n v="1.5"/>
    <n v="23.333333333333332"/>
    <x v="2"/>
    <s v="Art Deco statue of Jesus Chri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265C12-37A7-40A7-B36D-423A649D392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5:B106" firstHeaderRow="0" firstDataRow="1" firstDataCol="0"/>
  <pivotFields count="15">
    <pivotField showAll="0"/>
    <pivotField showAll="0">
      <items count="15">
        <item x="5"/>
        <item x="13"/>
        <item x="7"/>
        <item x="2"/>
        <item x="9"/>
        <item x="0"/>
        <item x="10"/>
        <item x="3"/>
        <item x="4"/>
        <item x="6"/>
        <item x="8"/>
        <item x="11"/>
        <item x="12"/>
        <item x="1"/>
        <item t="default"/>
      </items>
    </pivotField>
    <pivotField showAll="0"/>
    <pivotField showAll="0"/>
    <pivotField showAll="0">
      <items count="22">
        <item x="7"/>
        <item x="14"/>
        <item x="10"/>
        <item x="19"/>
        <item x="6"/>
        <item x="12"/>
        <item x="3"/>
        <item x="8"/>
        <item x="18"/>
        <item x="4"/>
        <item x="15"/>
        <item x="5"/>
        <item x="0"/>
        <item x="2"/>
        <item x="17"/>
        <item x="20"/>
        <item x="11"/>
        <item x="13"/>
        <item x="9"/>
        <item x="16"/>
        <item x="1"/>
        <item t="default"/>
      </items>
    </pivotField>
    <pivotField showAll="0"/>
    <pivotField showAll="0"/>
    <pivotField showAll="0"/>
    <pivotField showAll="0"/>
    <pivotField showAll="0"/>
    <pivotField dataField="1" numFmtId="164" showAll="0"/>
    <pivotField dataField="1" numFmtId="165" showAll="0"/>
    <pivotField numFmtId="166" showAll="0"/>
    <pivotField showAll="0"/>
    <pivotField showAll="0"/>
  </pivotFields>
  <rowItems count="1">
    <i/>
  </rowItems>
  <colFields count="1">
    <field x="-2"/>
  </colFields>
  <colItems count="2">
    <i>
      <x/>
    </i>
    <i i="1">
      <x v="1"/>
    </i>
  </colItems>
  <dataFields count="2">
    <dataField name="Sum of Average Visit Duration Hours" fld="11" baseField="0" baseItem="0" numFmtId="165"/>
    <dataField name="Sum of Tourism Revenue Million USD"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F3EE83-CF1C-40F8-AE78-FBD12108984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7:B91" firstHeaderRow="1" firstDataRow="1" firstDataCol="1"/>
  <pivotFields count="15">
    <pivotField showAll="0"/>
    <pivotField showAll="0">
      <items count="15">
        <item x="5"/>
        <item x="13"/>
        <item x="7"/>
        <item x="2"/>
        <item x="9"/>
        <item x="0"/>
        <item x="10"/>
        <item x="3"/>
        <item x="4"/>
        <item x="6"/>
        <item x="8"/>
        <item x="11"/>
        <item x="12"/>
        <item x="1"/>
        <item t="default"/>
      </items>
    </pivotField>
    <pivotField showAll="0"/>
    <pivotField showAll="0"/>
    <pivotField showAll="0">
      <items count="22">
        <item x="7"/>
        <item x="14"/>
        <item x="10"/>
        <item x="19"/>
        <item x="6"/>
        <item x="12"/>
        <item x="3"/>
        <item x="8"/>
        <item x="18"/>
        <item x="4"/>
        <item x="15"/>
        <item x="5"/>
        <item x="0"/>
        <item x="2"/>
        <item x="17"/>
        <item x="20"/>
        <item x="11"/>
        <item x="13"/>
        <item x="9"/>
        <item x="16"/>
        <item x="1"/>
        <item t="default"/>
      </items>
    </pivotField>
    <pivotField showAll="0"/>
    <pivotField showAll="0"/>
    <pivotField showAll="0"/>
    <pivotField showAll="0"/>
    <pivotField showAll="0"/>
    <pivotField numFmtId="164" showAll="0"/>
    <pivotField numFmtId="165" showAll="0"/>
    <pivotField numFmtId="166" showAll="0"/>
    <pivotField axis="axisRow" dataField="1" showAll="0">
      <items count="4">
        <item x="0"/>
        <item x="2"/>
        <item x="1"/>
        <item t="default"/>
      </items>
    </pivotField>
    <pivotField showAll="0"/>
  </pivotFields>
  <rowFields count="1">
    <field x="13"/>
  </rowFields>
  <rowItems count="4">
    <i>
      <x/>
    </i>
    <i>
      <x v="1"/>
    </i>
    <i>
      <x v="2"/>
    </i>
    <i t="grand">
      <x/>
    </i>
  </rowItems>
  <colItems count="1">
    <i/>
  </colItems>
  <dataFields count="1">
    <dataField name="Count of Popularity Tier" fld="13"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3" count="1" selected="0">
            <x v="0"/>
          </reference>
        </references>
      </pivotArea>
    </chartFormat>
    <chartFormat chart="2" format="10">
      <pivotArea type="data" outline="0" fieldPosition="0">
        <references count="2">
          <reference field="4294967294" count="1" selected="0">
            <x v="0"/>
          </reference>
          <reference field="13" count="1" selected="0">
            <x v="1"/>
          </reference>
        </references>
      </pivotArea>
    </chartFormat>
    <chartFormat chart="2"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EFBF12-623A-42E1-A605-DA1163EB34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9:B84" firstHeaderRow="1" firstDataRow="1" firstDataCol="1"/>
  <pivotFields count="15">
    <pivotField showAll="0"/>
    <pivotField axis="axisRow" showAll="0">
      <items count="15">
        <item x="5"/>
        <item x="13"/>
        <item x="7"/>
        <item x="2"/>
        <item x="9"/>
        <item x="0"/>
        <item x="10"/>
        <item x="3"/>
        <item x="4"/>
        <item x="6"/>
        <item x="8"/>
        <item x="11"/>
        <item x="12"/>
        <item x="1"/>
        <item t="default"/>
      </items>
    </pivotField>
    <pivotField showAll="0"/>
    <pivotField showAll="0"/>
    <pivotField showAll="0">
      <items count="22">
        <item x="7"/>
        <item x="14"/>
        <item x="10"/>
        <item x="19"/>
        <item x="6"/>
        <item x="12"/>
        <item x="3"/>
        <item x="8"/>
        <item x="18"/>
        <item x="4"/>
        <item x="15"/>
        <item x="5"/>
        <item x="0"/>
        <item x="2"/>
        <item x="17"/>
        <item x="20"/>
        <item x="11"/>
        <item x="13"/>
        <item x="9"/>
        <item x="16"/>
        <item x="1"/>
        <item t="default"/>
      </items>
    </pivotField>
    <pivotField showAll="0"/>
    <pivotField showAll="0"/>
    <pivotField showAll="0"/>
    <pivotField showAll="0"/>
    <pivotField showAll="0"/>
    <pivotField dataField="1" numFmtId="164" showAll="0"/>
    <pivotField numFmtId="165" showAll="0"/>
    <pivotField numFmtId="166" showAll="0"/>
    <pivotField showAll="0"/>
    <pivotField showAll="0"/>
  </pivotFields>
  <rowFields count="1">
    <field x="1"/>
  </rowFields>
  <rowItems count="15">
    <i>
      <x/>
    </i>
    <i>
      <x v="1"/>
    </i>
    <i>
      <x v="2"/>
    </i>
    <i>
      <x v="3"/>
    </i>
    <i>
      <x v="4"/>
    </i>
    <i>
      <x v="5"/>
    </i>
    <i>
      <x v="6"/>
    </i>
    <i>
      <x v="7"/>
    </i>
    <i>
      <x v="8"/>
    </i>
    <i>
      <x v="9"/>
    </i>
    <i>
      <x v="10"/>
    </i>
    <i>
      <x v="11"/>
    </i>
    <i>
      <x v="12"/>
    </i>
    <i>
      <x v="13"/>
    </i>
    <i t="grand">
      <x/>
    </i>
  </rowItems>
  <colItems count="1">
    <i/>
  </colItems>
  <dataFields count="1">
    <dataField name="Sum of Tourism Revenue Million USD"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0BDA71-1DC8-4D84-9BA9-81DB8FA03F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4:B66" firstHeaderRow="1" firstDataRow="1" firstDataCol="1"/>
  <pivotFields count="15">
    <pivotField showAll="0"/>
    <pivotField showAll="0">
      <items count="15">
        <item x="5"/>
        <item x="13"/>
        <item x="7"/>
        <item x="2"/>
        <item x="9"/>
        <item x="0"/>
        <item x="10"/>
        <item x="3"/>
        <item x="4"/>
        <item x="6"/>
        <item x="8"/>
        <item x="11"/>
        <item x="12"/>
        <item x="1"/>
        <item t="default"/>
      </items>
    </pivotField>
    <pivotField showAll="0"/>
    <pivotField showAll="0"/>
    <pivotField axis="axisRow" showAll="0">
      <items count="22">
        <item x="7"/>
        <item x="14"/>
        <item x="10"/>
        <item x="19"/>
        <item x="6"/>
        <item x="12"/>
        <item x="3"/>
        <item x="8"/>
        <item x="18"/>
        <item x="4"/>
        <item x="15"/>
        <item x="5"/>
        <item x="0"/>
        <item x="2"/>
        <item x="17"/>
        <item x="20"/>
        <item x="11"/>
        <item x="13"/>
        <item x="9"/>
        <item x="16"/>
        <item x="1"/>
        <item t="default"/>
      </items>
    </pivotField>
    <pivotField showAll="0"/>
    <pivotField showAll="0"/>
    <pivotField showAll="0"/>
    <pivotField showAll="0"/>
    <pivotField showAll="0"/>
    <pivotField numFmtId="164" showAll="0"/>
    <pivotField dataField="1" numFmtId="165" showAll="0"/>
    <pivotField numFmtId="166" showAll="0"/>
    <pivotField showAll="0"/>
    <pivotField showAll="0"/>
  </pivotFields>
  <rowFields count="1">
    <field x="4"/>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Average Visit Duration Hours" fld="11"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B8C5F5-FB54-40BB-8A36-2962D254214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9:B41" firstHeaderRow="1" firstDataRow="1" firstDataCol="1"/>
  <pivotFields count="15">
    <pivotField showAll="0"/>
    <pivotField showAll="0">
      <items count="15">
        <item x="5"/>
        <item x="13"/>
        <item x="7"/>
        <item x="2"/>
        <item x="9"/>
        <item x="0"/>
        <item x="10"/>
        <item x="3"/>
        <item x="4"/>
        <item x="6"/>
        <item x="8"/>
        <item x="11"/>
        <item x="12"/>
        <item x="1"/>
        <item t="default"/>
      </items>
    </pivotField>
    <pivotField showAll="0"/>
    <pivotField showAll="0"/>
    <pivotField axis="axisRow" showAll="0" sortType="ascending">
      <items count="22">
        <item x="7"/>
        <item x="14"/>
        <item x="10"/>
        <item x="19"/>
        <item x="6"/>
        <item x="12"/>
        <item x="3"/>
        <item x="8"/>
        <item x="18"/>
        <item x="4"/>
        <item x="15"/>
        <item x="5"/>
        <item x="0"/>
        <item x="2"/>
        <item x="17"/>
        <item x="20"/>
        <item x="11"/>
        <item x="13"/>
        <item x="9"/>
        <item x="1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164" showAll="0"/>
    <pivotField numFmtId="165" showAll="0"/>
    <pivotField numFmtId="166" showAll="0"/>
    <pivotField showAll="0"/>
    <pivotField showAll="0"/>
  </pivotFields>
  <rowFields count="1">
    <field x="4"/>
  </rowFields>
  <rowItems count="22">
    <i>
      <x v="10"/>
    </i>
    <i>
      <x v="16"/>
    </i>
    <i>
      <x v="11"/>
    </i>
    <i>
      <x v="8"/>
    </i>
    <i>
      <x v="9"/>
    </i>
    <i>
      <x v="3"/>
    </i>
    <i>
      <x v="20"/>
    </i>
    <i>
      <x v="1"/>
    </i>
    <i>
      <x v="18"/>
    </i>
    <i>
      <x v="2"/>
    </i>
    <i>
      <x v="12"/>
    </i>
    <i>
      <x v="6"/>
    </i>
    <i>
      <x v="4"/>
    </i>
    <i>
      <x/>
    </i>
    <i>
      <x v="15"/>
    </i>
    <i>
      <x v="13"/>
    </i>
    <i>
      <x v="7"/>
    </i>
    <i>
      <x v="17"/>
    </i>
    <i>
      <x v="14"/>
    </i>
    <i>
      <x v="19"/>
    </i>
    <i>
      <x v="5"/>
    </i>
    <i t="grand">
      <x/>
    </i>
  </rowItems>
  <colItems count="1">
    <i/>
  </colItems>
  <dataFields count="1">
    <dataField name="Average of Tourism Revenue Million USD" fld="10" subtotal="average" baseField="4" baseItem="0" numFmtId="164"/>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2E0C0E-FB10-45BB-85CF-E976FCA1DB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6" firstHeaderRow="1" firstDataRow="1" firstDataCol="1"/>
  <pivotFields count="15">
    <pivotField dataField="1" showAll="0"/>
    <pivotField axis="axisRow" showAll="0">
      <items count="15">
        <item x="5"/>
        <item x="13"/>
        <item x="7"/>
        <item x="2"/>
        <item x="9"/>
        <item x="0"/>
        <item x="10"/>
        <item x="3"/>
        <item x="4"/>
        <item x="6"/>
        <item x="8"/>
        <item x="11"/>
        <item x="12"/>
        <item x="1"/>
        <item t="default"/>
      </items>
    </pivotField>
    <pivotField showAll="0"/>
    <pivotField showAll="0"/>
    <pivotField showAll="0">
      <items count="22">
        <item x="7"/>
        <item x="14"/>
        <item x="10"/>
        <item x="19"/>
        <item x="6"/>
        <item x="12"/>
        <item x="3"/>
        <item x="8"/>
        <item x="18"/>
        <item x="4"/>
        <item x="15"/>
        <item x="5"/>
        <item x="0"/>
        <item x="2"/>
        <item x="17"/>
        <item x="20"/>
        <item x="11"/>
        <item x="13"/>
        <item x="9"/>
        <item x="16"/>
        <item x="1"/>
        <item t="default"/>
      </items>
    </pivotField>
    <pivotField showAll="0"/>
    <pivotField showAll="0"/>
    <pivotField showAll="0"/>
    <pivotField showAll="0"/>
    <pivotField showAll="0"/>
    <pivotField numFmtId="164" showAll="0"/>
    <pivotField numFmtId="165" showAll="0"/>
    <pivotField numFmtId="166" showAll="0"/>
    <pivotField showAll="0"/>
    <pivotField showAll="0"/>
  </pivotFields>
  <rowFields count="1">
    <field x="1"/>
  </rowFields>
  <rowItems count="15">
    <i>
      <x/>
    </i>
    <i>
      <x v="1"/>
    </i>
    <i>
      <x v="2"/>
    </i>
    <i>
      <x v="3"/>
    </i>
    <i>
      <x v="4"/>
    </i>
    <i>
      <x v="5"/>
    </i>
    <i>
      <x v="6"/>
    </i>
    <i>
      <x v="7"/>
    </i>
    <i>
      <x v="8"/>
    </i>
    <i>
      <x v="9"/>
    </i>
    <i>
      <x v="10"/>
    </i>
    <i>
      <x v="11"/>
    </i>
    <i>
      <x v="12"/>
    </i>
    <i>
      <x v="13"/>
    </i>
    <i t="grand">
      <x/>
    </i>
  </rowItems>
  <colItems count="1">
    <i/>
  </colItems>
  <dataFields count="1">
    <dataField name="Count of Place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04B21CE1-8918-432F-8B6C-F54E4EE2DC68}" sourceName="Type">
  <pivotTables>
    <pivotTable tabId="3" name="PivotTable1"/>
    <pivotTable tabId="3" name="PivotTable2"/>
    <pivotTable tabId="3" name="PivotTable3"/>
    <pivotTable tabId="3" name="PivotTable5"/>
    <pivotTable tabId="3" name="PivotTable6"/>
    <pivotTable tabId="3" name="PivotTable8"/>
  </pivotTables>
  <data>
    <tabular pivotCacheId="4425475">
      <items count="21">
        <i x="7" s="1"/>
        <i x="14" s="1"/>
        <i x="10" s="1"/>
        <i x="19" s="1"/>
        <i x="6" s="1"/>
        <i x="12" s="1"/>
        <i x="3" s="1"/>
        <i x="8" s="1"/>
        <i x="18" s="1"/>
        <i x="4" s="1"/>
        <i x="15" s="1"/>
        <i x="5" s="1"/>
        <i x="0" s="1"/>
        <i x="2" s="1"/>
        <i x="17" s="1"/>
        <i x="20" s="1"/>
        <i x="11" s="1"/>
        <i x="13" s="1"/>
        <i x="9" s="1"/>
        <i x="1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561234D-83E4-41B4-B999-EBFE72E58B5F}" sourceName="Country">
  <pivotTables>
    <pivotTable tabId="3" name="PivotTable3"/>
    <pivotTable tabId="3" name="PivotTable1"/>
    <pivotTable tabId="3" name="PivotTable2"/>
    <pivotTable tabId="3" name="PivotTable5"/>
    <pivotTable tabId="3" name="PivotTable6"/>
    <pivotTable tabId="3" name="PivotTable8"/>
  </pivotTables>
  <data>
    <tabular pivotCacheId="4425475">
      <items count="14">
        <i x="5" s="1"/>
        <i x="13" s="1"/>
        <i x="7" s="1"/>
        <i x="2" s="1"/>
        <i x="9" s="1"/>
        <i x="0" s="1"/>
        <i x="10" s="1"/>
        <i x="3" s="1"/>
        <i x="4" s="1"/>
        <i x="6" s="1"/>
        <i x="8" s="1"/>
        <i x="11" s="1"/>
        <i x="1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5F188E5F-A93D-4028-B966-938351A2A1BC}" cache="Slicer_Type" caption="Type" startItem="12" rowHeight="234950"/>
  <slicer name="Country" xr10:uid="{225D8FB7-1561-419B-820A-C6FF59607038}" cache="Slicer_Country" caption="Country" startItem="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AC4D87-0E4D-41D1-9B89-D14D7B1876B3}" name="Table1" displayName="Table1" ref="A1:O32" totalsRowCount="1">
  <autoFilter ref="A1:O31" xr:uid="{0AAC4D87-0E4D-41D1-9B89-D14D7B1876B3}"/>
  <tableColumns count="15">
    <tableColumn id="1" xr3:uid="{03511F97-11D2-4083-B2BE-0AC5D5088841}" name="Place Name"/>
    <tableColumn id="2" xr3:uid="{B5F9E106-C645-46F0-93E7-5D921D6AD8F2}" name="Country"/>
    <tableColumn id="3" xr3:uid="{5FC9633B-BB98-4FC4-880F-0C94259E9B5D}" name="City"/>
    <tableColumn id="4" xr3:uid="{4B0F608C-B1AC-4CF3-93AB-8DE9B089054D}" name="Annual Visitors Millions"/>
    <tableColumn id="5" xr3:uid="{DD1E2485-002C-4C33-B2DA-35D10F92F0C5}" name="Type"/>
    <tableColumn id="6" xr3:uid="{3C027DF0-CBAA-4896-A06F-D905532B50AC}" name="UNESCO World Heritage"/>
    <tableColumn id="7" xr3:uid="{1BE00E52-A217-40E8-BC11-6E602D70607A}" name="Year Built"/>
    <tableColumn id="8" xr3:uid="{EDB8316B-05C8-413E-83A3-98DFC416CB39}" name="Entry Fee USD"/>
    <tableColumn id="9" xr3:uid="{B91E719F-BAF8-4EEE-9C69-D87D9182AEF9}" name="Best Visit Month"/>
    <tableColumn id="10" xr3:uid="{A2B77461-CC6B-461E-A6ED-1208A29DE1FC}" name="Region2"/>
    <tableColumn id="11" xr3:uid="{EC9FB3A0-005F-4189-ACBC-3242996F5FC9}" name="Tourism Revenue Million USD" totalsRowFunction="custom" dataDxfId="12" totalsRowDxfId="11">
      <totalsRowFormula>SUM(Table1[Tourism Revenue Million USD])</totalsRowFormula>
    </tableColumn>
    <tableColumn id="12" xr3:uid="{64FD037A-5B72-4456-A9EA-2A7ABD2BCC7F}" name="Average Visit Duration Hours" dataDxfId="3" totalsRowDxfId="10"/>
    <tableColumn id="14" xr3:uid="{835AC707-9BC3-4696-87A4-E68113E8FEB6}" name="Revenue Per Hour" dataDxfId="1" totalsRowDxfId="0">
      <calculatedColumnFormula>Table1[[#This Row],[Tourism Revenue Million USD]]/Table1[[#This Row],[Average Visit Duration Hours]]</calculatedColumnFormula>
    </tableColumn>
    <tableColumn id="15" xr3:uid="{9EDA80B7-E7F1-4CB4-8112-DCB81D885240}" name="Popularity Tier" dataDxfId="2" totalsRowDxfId="9">
      <calculatedColumnFormula>IF(Table1[[#This Row],[Tourism Revenue Million USD]]&gt;80, "High", IF(Table1[[#This Row],[Tourism Revenue Million USD]]&gt;50, "Medium", "Low"))</calculatedColumnFormula>
    </tableColumn>
    <tableColumn id="13" xr3:uid="{699412F1-837A-4380-B387-2602598A104A}" name="Famous Fo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7B1C2C-20CA-40D8-82F1-9E80B207983C}" name="Table3" displayName="Table3" ref="A1:C9" totalsRowShown="0" headerRowDxfId="8" dataDxfId="7">
  <autoFilter ref="A1:C9" xr:uid="{D97B1C2C-20CA-40D8-82F1-9E80B207983C}"/>
  <tableColumns count="3">
    <tableColumn id="1" xr3:uid="{9483634B-3AD2-457B-91FD-374263D4ED95}" name="No" dataDxfId="6"/>
    <tableColumn id="2" xr3:uid="{C05CCEFB-FED3-4F90-9808-E990D6BA5C05}" name="Insight" dataDxfId="5"/>
    <tableColumn id="3" xr3:uid="{D38075F8-DAC8-4328-B2ED-074440DDA242}" name="Business Interpretation / Recommendation"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1C51F-81B3-4D5D-8732-CED6A1CA2CCB}">
  <dimension ref="A1:M31"/>
  <sheetViews>
    <sheetView workbookViewId="0">
      <selection activeCell="U11" sqref="U11"/>
    </sheetView>
  </sheetViews>
  <sheetFormatPr defaultRowHeight="14.4" x14ac:dyDescent="0.3"/>
  <sheetData>
    <row r="1" spans="1:13" x14ac:dyDescent="0.3">
      <c r="A1" t="s">
        <v>197</v>
      </c>
      <c r="B1" t="s">
        <v>0</v>
      </c>
      <c r="C1" t="s">
        <v>1</v>
      </c>
      <c r="D1" t="s">
        <v>198</v>
      </c>
      <c r="E1" t="s">
        <v>2</v>
      </c>
      <c r="F1" t="s">
        <v>199</v>
      </c>
      <c r="G1" t="s">
        <v>200</v>
      </c>
      <c r="H1" t="s">
        <v>201</v>
      </c>
      <c r="I1" t="s">
        <v>202</v>
      </c>
      <c r="J1" t="s">
        <v>203</v>
      </c>
      <c r="K1" t="s">
        <v>204</v>
      </c>
      <c r="L1" t="s">
        <v>205</v>
      </c>
      <c r="M1" t="s">
        <v>206</v>
      </c>
    </row>
    <row r="2" spans="1:13" x14ac:dyDescent="0.3">
      <c r="A2" t="s">
        <v>3</v>
      </c>
      <c r="B2" t="s">
        <v>4</v>
      </c>
      <c r="C2" t="s">
        <v>5</v>
      </c>
      <c r="D2">
        <v>7</v>
      </c>
      <c r="E2" t="s">
        <v>6</v>
      </c>
      <c r="F2" t="s">
        <v>7</v>
      </c>
      <c r="G2">
        <v>1889</v>
      </c>
      <c r="H2">
        <v>35</v>
      </c>
      <c r="I2" t="s">
        <v>8</v>
      </c>
      <c r="J2" t="s">
        <v>9</v>
      </c>
      <c r="K2">
        <v>95</v>
      </c>
      <c r="L2">
        <v>2.5</v>
      </c>
      <c r="M2" t="s">
        <v>10</v>
      </c>
    </row>
    <row r="3" spans="1:13" x14ac:dyDescent="0.3">
      <c r="A3" t="s">
        <v>11</v>
      </c>
      <c r="B3" t="s">
        <v>12</v>
      </c>
      <c r="C3" t="s">
        <v>13</v>
      </c>
      <c r="D3">
        <v>50</v>
      </c>
      <c r="E3" t="s">
        <v>14</v>
      </c>
      <c r="F3" t="s">
        <v>7</v>
      </c>
      <c r="G3">
        <v>1904</v>
      </c>
      <c r="H3">
        <v>0</v>
      </c>
      <c r="I3" t="s">
        <v>15</v>
      </c>
      <c r="J3" t="s">
        <v>16</v>
      </c>
      <c r="K3">
        <v>70</v>
      </c>
      <c r="L3">
        <v>1.5</v>
      </c>
      <c r="M3" t="s">
        <v>17</v>
      </c>
    </row>
    <row r="4" spans="1:13" x14ac:dyDescent="0.3">
      <c r="A4" t="s">
        <v>18</v>
      </c>
      <c r="B4" t="s">
        <v>4</v>
      </c>
      <c r="C4" t="s">
        <v>5</v>
      </c>
      <c r="D4">
        <v>8.6999999999999993</v>
      </c>
      <c r="E4" t="s">
        <v>19</v>
      </c>
      <c r="F4" t="s">
        <v>20</v>
      </c>
      <c r="G4">
        <v>1793</v>
      </c>
      <c r="H4">
        <v>22</v>
      </c>
      <c r="I4" t="s">
        <v>21</v>
      </c>
      <c r="J4" t="s">
        <v>9</v>
      </c>
      <c r="K4">
        <v>120</v>
      </c>
      <c r="L4">
        <v>4</v>
      </c>
      <c r="M4" t="s">
        <v>22</v>
      </c>
    </row>
    <row r="5" spans="1:13" x14ac:dyDescent="0.3">
      <c r="A5" t="s">
        <v>23</v>
      </c>
      <c r="B5" t="s">
        <v>24</v>
      </c>
      <c r="C5" t="s">
        <v>25</v>
      </c>
      <c r="D5">
        <v>10</v>
      </c>
      <c r="E5" t="s">
        <v>26</v>
      </c>
      <c r="F5" t="s">
        <v>20</v>
      </c>
      <c r="G5" t="s">
        <v>27</v>
      </c>
      <c r="H5">
        <v>10</v>
      </c>
      <c r="I5" t="s">
        <v>28</v>
      </c>
      <c r="J5" t="s">
        <v>29</v>
      </c>
      <c r="K5">
        <v>180</v>
      </c>
      <c r="L5">
        <v>4</v>
      </c>
      <c r="M5" t="s">
        <v>30</v>
      </c>
    </row>
    <row r="6" spans="1:13" x14ac:dyDescent="0.3">
      <c r="A6" t="s">
        <v>31</v>
      </c>
      <c r="B6" t="s">
        <v>32</v>
      </c>
      <c r="C6" t="s">
        <v>33</v>
      </c>
      <c r="D6">
        <v>7.5</v>
      </c>
      <c r="E6" t="s">
        <v>34</v>
      </c>
      <c r="F6" t="s">
        <v>20</v>
      </c>
      <c r="G6">
        <v>1653</v>
      </c>
      <c r="H6">
        <v>15</v>
      </c>
      <c r="I6" t="s">
        <v>21</v>
      </c>
      <c r="J6" t="s">
        <v>35</v>
      </c>
      <c r="K6">
        <v>65</v>
      </c>
      <c r="L6">
        <v>2</v>
      </c>
      <c r="M6" t="s">
        <v>36</v>
      </c>
    </row>
    <row r="7" spans="1:13" x14ac:dyDescent="0.3">
      <c r="A7" t="s">
        <v>37</v>
      </c>
      <c r="B7" t="s">
        <v>38</v>
      </c>
      <c r="C7" t="s">
        <v>39</v>
      </c>
      <c r="D7">
        <v>7.65</v>
      </c>
      <c r="E7" t="s">
        <v>26</v>
      </c>
      <c r="F7" t="s">
        <v>20</v>
      </c>
      <c r="G7">
        <v>80</v>
      </c>
      <c r="H7">
        <v>18</v>
      </c>
      <c r="I7" t="s">
        <v>28</v>
      </c>
      <c r="J7" t="s">
        <v>40</v>
      </c>
      <c r="K7">
        <v>85</v>
      </c>
      <c r="L7">
        <v>2.5</v>
      </c>
      <c r="M7" t="s">
        <v>41</v>
      </c>
    </row>
    <row r="8" spans="1:13" x14ac:dyDescent="0.3">
      <c r="A8" t="s">
        <v>42</v>
      </c>
      <c r="B8" t="s">
        <v>12</v>
      </c>
      <c r="C8" t="s">
        <v>13</v>
      </c>
      <c r="D8">
        <v>4.3</v>
      </c>
      <c r="E8" t="s">
        <v>43</v>
      </c>
      <c r="F8" t="s">
        <v>20</v>
      </c>
      <c r="G8">
        <v>1886</v>
      </c>
      <c r="H8">
        <v>25</v>
      </c>
      <c r="I8" t="s">
        <v>44</v>
      </c>
      <c r="J8" t="s">
        <v>16</v>
      </c>
      <c r="K8">
        <v>45</v>
      </c>
      <c r="L8">
        <v>2</v>
      </c>
      <c r="M8" t="s">
        <v>45</v>
      </c>
    </row>
    <row r="9" spans="1:13" x14ac:dyDescent="0.3">
      <c r="A9" t="s">
        <v>46</v>
      </c>
      <c r="B9" t="s">
        <v>47</v>
      </c>
      <c r="C9" t="s">
        <v>48</v>
      </c>
      <c r="D9">
        <v>8.1999999999999993</v>
      </c>
      <c r="E9" t="s">
        <v>49</v>
      </c>
      <c r="F9" t="s">
        <v>20</v>
      </c>
      <c r="G9">
        <v>1973</v>
      </c>
      <c r="H9">
        <v>49</v>
      </c>
      <c r="I9" t="s">
        <v>50</v>
      </c>
      <c r="J9" t="s">
        <v>51</v>
      </c>
      <c r="K9">
        <v>110</v>
      </c>
      <c r="L9">
        <v>1.5</v>
      </c>
      <c r="M9" t="s">
        <v>52</v>
      </c>
    </row>
    <row r="10" spans="1:13" x14ac:dyDescent="0.3">
      <c r="A10" t="s">
        <v>53</v>
      </c>
      <c r="B10" t="s">
        <v>54</v>
      </c>
      <c r="C10" t="s">
        <v>55</v>
      </c>
      <c r="D10">
        <v>1.5</v>
      </c>
      <c r="E10" t="s">
        <v>56</v>
      </c>
      <c r="F10" t="s">
        <v>20</v>
      </c>
      <c r="G10">
        <v>1450</v>
      </c>
      <c r="H10">
        <v>70</v>
      </c>
      <c r="I10" t="s">
        <v>57</v>
      </c>
      <c r="J10" t="s">
        <v>58</v>
      </c>
      <c r="K10">
        <v>180</v>
      </c>
      <c r="L10">
        <v>8</v>
      </c>
      <c r="M10" t="s">
        <v>59</v>
      </c>
    </row>
    <row r="11" spans="1:13" x14ac:dyDescent="0.3">
      <c r="A11" t="s">
        <v>60</v>
      </c>
      <c r="B11" t="s">
        <v>24</v>
      </c>
      <c r="C11" t="s">
        <v>61</v>
      </c>
      <c r="D11">
        <v>9</v>
      </c>
      <c r="E11" t="s">
        <v>62</v>
      </c>
      <c r="F11" t="s">
        <v>20</v>
      </c>
      <c r="G11">
        <v>1420</v>
      </c>
      <c r="H11">
        <v>8</v>
      </c>
      <c r="I11" t="s">
        <v>28</v>
      </c>
      <c r="J11" t="s">
        <v>29</v>
      </c>
      <c r="K11">
        <v>75</v>
      </c>
      <c r="L11">
        <v>3</v>
      </c>
      <c r="M11" t="s">
        <v>63</v>
      </c>
    </row>
    <row r="12" spans="1:13" x14ac:dyDescent="0.3">
      <c r="A12" t="s">
        <v>64</v>
      </c>
      <c r="B12" t="s">
        <v>65</v>
      </c>
      <c r="C12" t="s">
        <v>66</v>
      </c>
      <c r="D12">
        <v>2.6</v>
      </c>
      <c r="E12" t="s">
        <v>67</v>
      </c>
      <c r="F12" t="s">
        <v>20</v>
      </c>
      <c r="G12">
        <v>1150</v>
      </c>
      <c r="H12">
        <v>37</v>
      </c>
      <c r="I12" t="s">
        <v>68</v>
      </c>
      <c r="J12" t="s">
        <v>69</v>
      </c>
      <c r="K12">
        <v>90</v>
      </c>
      <c r="L12">
        <v>6</v>
      </c>
      <c r="M12" t="s">
        <v>70</v>
      </c>
    </row>
    <row r="13" spans="1:13" x14ac:dyDescent="0.3">
      <c r="A13" t="s">
        <v>71</v>
      </c>
      <c r="B13" t="s">
        <v>4</v>
      </c>
      <c r="C13" t="s">
        <v>5</v>
      </c>
      <c r="D13">
        <v>13</v>
      </c>
      <c r="E13" t="s">
        <v>72</v>
      </c>
      <c r="F13" t="s">
        <v>20</v>
      </c>
      <c r="G13">
        <v>1345</v>
      </c>
      <c r="H13">
        <v>0</v>
      </c>
      <c r="I13" t="s">
        <v>73</v>
      </c>
      <c r="J13" t="s">
        <v>9</v>
      </c>
      <c r="K13">
        <v>50</v>
      </c>
      <c r="L13">
        <v>1</v>
      </c>
      <c r="M13" t="s">
        <v>74</v>
      </c>
    </row>
    <row r="14" spans="1:13" x14ac:dyDescent="0.3">
      <c r="A14" t="s">
        <v>75</v>
      </c>
      <c r="B14" t="s">
        <v>12</v>
      </c>
      <c r="C14" t="s">
        <v>13</v>
      </c>
      <c r="D14">
        <v>42</v>
      </c>
      <c r="E14" t="s">
        <v>76</v>
      </c>
      <c r="F14" t="s">
        <v>7</v>
      </c>
      <c r="G14">
        <v>1857</v>
      </c>
      <c r="H14">
        <v>0</v>
      </c>
      <c r="I14" t="s">
        <v>44</v>
      </c>
      <c r="J14" t="s">
        <v>16</v>
      </c>
      <c r="K14">
        <v>35</v>
      </c>
      <c r="L14">
        <v>3</v>
      </c>
      <c r="M14" t="s">
        <v>77</v>
      </c>
    </row>
    <row r="15" spans="1:13" x14ac:dyDescent="0.3">
      <c r="A15" t="s">
        <v>78</v>
      </c>
      <c r="B15" t="s">
        <v>12</v>
      </c>
      <c r="C15" t="s">
        <v>79</v>
      </c>
      <c r="D15">
        <v>41.7</v>
      </c>
      <c r="E15" t="s">
        <v>80</v>
      </c>
      <c r="F15" t="s">
        <v>7</v>
      </c>
      <c r="G15">
        <v>1905</v>
      </c>
      <c r="H15">
        <v>0</v>
      </c>
      <c r="I15" t="s">
        <v>81</v>
      </c>
      <c r="J15" t="s">
        <v>16</v>
      </c>
      <c r="K15">
        <v>6800</v>
      </c>
      <c r="L15">
        <v>8</v>
      </c>
      <c r="M15" t="s">
        <v>82</v>
      </c>
    </row>
    <row r="16" spans="1:13" x14ac:dyDescent="0.3">
      <c r="A16" t="s">
        <v>83</v>
      </c>
      <c r="B16" t="s">
        <v>12</v>
      </c>
      <c r="C16" t="s">
        <v>13</v>
      </c>
      <c r="D16">
        <v>4.5999999999999996</v>
      </c>
      <c r="E16" t="s">
        <v>84</v>
      </c>
      <c r="F16" t="s">
        <v>7</v>
      </c>
      <c r="G16">
        <v>1931</v>
      </c>
      <c r="H16">
        <v>44</v>
      </c>
      <c r="I16" t="s">
        <v>44</v>
      </c>
      <c r="J16" t="s">
        <v>16</v>
      </c>
      <c r="K16">
        <v>115</v>
      </c>
      <c r="L16">
        <v>1.5</v>
      </c>
      <c r="M16" t="s">
        <v>85</v>
      </c>
    </row>
    <row r="17" spans="1:13" x14ac:dyDescent="0.3">
      <c r="A17" t="s">
        <v>86</v>
      </c>
      <c r="B17" t="s">
        <v>12</v>
      </c>
      <c r="C17" t="s">
        <v>87</v>
      </c>
      <c r="D17">
        <v>15</v>
      </c>
      <c r="E17" t="s">
        <v>88</v>
      </c>
      <c r="F17" t="s">
        <v>7</v>
      </c>
      <c r="G17">
        <v>1937</v>
      </c>
      <c r="H17">
        <v>0</v>
      </c>
      <c r="I17" t="s">
        <v>50</v>
      </c>
      <c r="J17" t="s">
        <v>16</v>
      </c>
      <c r="K17">
        <v>80</v>
      </c>
      <c r="L17">
        <v>1</v>
      </c>
      <c r="M17" t="s">
        <v>89</v>
      </c>
    </row>
    <row r="18" spans="1:13" x14ac:dyDescent="0.3">
      <c r="A18" t="s">
        <v>90</v>
      </c>
      <c r="B18" t="s">
        <v>12</v>
      </c>
      <c r="C18" t="s">
        <v>91</v>
      </c>
      <c r="D18">
        <v>8.5</v>
      </c>
      <c r="E18" t="s">
        <v>92</v>
      </c>
      <c r="F18" t="s">
        <v>7</v>
      </c>
      <c r="G18">
        <v>1922</v>
      </c>
      <c r="H18">
        <v>0</v>
      </c>
      <c r="I18" t="s">
        <v>73</v>
      </c>
      <c r="J18" t="s">
        <v>16</v>
      </c>
      <c r="K18">
        <v>25</v>
      </c>
      <c r="L18">
        <v>1</v>
      </c>
      <c r="M18" t="s">
        <v>93</v>
      </c>
    </row>
    <row r="19" spans="1:13" x14ac:dyDescent="0.3">
      <c r="A19" t="s">
        <v>94</v>
      </c>
      <c r="B19" t="s">
        <v>95</v>
      </c>
      <c r="C19" t="s">
        <v>96</v>
      </c>
      <c r="D19">
        <v>4.7</v>
      </c>
      <c r="E19" t="s">
        <v>72</v>
      </c>
      <c r="F19" t="s">
        <v>20</v>
      </c>
      <c r="G19" t="s">
        <v>97</v>
      </c>
      <c r="H19">
        <v>26</v>
      </c>
      <c r="I19" t="s">
        <v>73</v>
      </c>
      <c r="J19" t="s">
        <v>40</v>
      </c>
      <c r="K19">
        <v>130</v>
      </c>
      <c r="L19">
        <v>2</v>
      </c>
      <c r="M19" t="s">
        <v>98</v>
      </c>
    </row>
    <row r="20" spans="1:13" x14ac:dyDescent="0.3">
      <c r="A20" t="s">
        <v>99</v>
      </c>
      <c r="B20" t="s">
        <v>12</v>
      </c>
      <c r="C20" t="s">
        <v>100</v>
      </c>
      <c r="D20">
        <v>16</v>
      </c>
      <c r="E20" t="s">
        <v>101</v>
      </c>
      <c r="F20" t="s">
        <v>7</v>
      </c>
      <c r="G20">
        <v>1955</v>
      </c>
      <c r="H20">
        <v>104</v>
      </c>
      <c r="I20" t="s">
        <v>102</v>
      </c>
      <c r="J20" t="s">
        <v>16</v>
      </c>
      <c r="K20">
        <v>3200</v>
      </c>
      <c r="L20">
        <v>8</v>
      </c>
      <c r="M20" t="s">
        <v>103</v>
      </c>
    </row>
    <row r="21" spans="1:13" x14ac:dyDescent="0.3">
      <c r="A21" t="s">
        <v>104</v>
      </c>
      <c r="B21" t="s">
        <v>12</v>
      </c>
      <c r="C21" t="s">
        <v>105</v>
      </c>
      <c r="D21">
        <v>17</v>
      </c>
      <c r="E21" t="s">
        <v>101</v>
      </c>
      <c r="F21" t="s">
        <v>7</v>
      </c>
      <c r="G21">
        <v>1971</v>
      </c>
      <c r="H21">
        <v>109</v>
      </c>
      <c r="I21" t="s">
        <v>106</v>
      </c>
      <c r="J21" t="s">
        <v>16</v>
      </c>
      <c r="K21">
        <v>4500</v>
      </c>
      <c r="L21">
        <v>10</v>
      </c>
      <c r="M21" t="s">
        <v>107</v>
      </c>
    </row>
    <row r="22" spans="1:13" x14ac:dyDescent="0.3">
      <c r="A22" t="s">
        <v>108</v>
      </c>
      <c r="B22" t="s">
        <v>12</v>
      </c>
      <c r="C22" t="s">
        <v>109</v>
      </c>
      <c r="D22">
        <v>6</v>
      </c>
      <c r="E22" t="s">
        <v>110</v>
      </c>
      <c r="F22" t="s">
        <v>20</v>
      </c>
      <c r="G22" t="s">
        <v>111</v>
      </c>
      <c r="H22">
        <v>35</v>
      </c>
      <c r="I22" t="s">
        <v>81</v>
      </c>
      <c r="J22" t="s">
        <v>16</v>
      </c>
      <c r="K22">
        <v>780</v>
      </c>
      <c r="L22">
        <v>5</v>
      </c>
      <c r="M22" t="s">
        <v>112</v>
      </c>
    </row>
    <row r="23" spans="1:13" x14ac:dyDescent="0.3">
      <c r="A23" t="s">
        <v>113</v>
      </c>
      <c r="B23" t="s">
        <v>114</v>
      </c>
      <c r="C23" t="s">
        <v>115</v>
      </c>
      <c r="D23">
        <v>2.8</v>
      </c>
      <c r="E23" t="s">
        <v>26</v>
      </c>
      <c r="F23" t="s">
        <v>20</v>
      </c>
      <c r="G23">
        <v>2550</v>
      </c>
      <c r="H23">
        <v>20</v>
      </c>
      <c r="I23" t="s">
        <v>116</v>
      </c>
      <c r="J23" t="s">
        <v>117</v>
      </c>
      <c r="K23">
        <v>40</v>
      </c>
      <c r="L23">
        <v>3</v>
      </c>
      <c r="M23" t="s">
        <v>118</v>
      </c>
    </row>
    <row r="24" spans="1:13" x14ac:dyDescent="0.3">
      <c r="A24" t="s">
        <v>119</v>
      </c>
      <c r="B24" t="s">
        <v>38</v>
      </c>
      <c r="C24" t="s">
        <v>120</v>
      </c>
      <c r="D24">
        <v>5</v>
      </c>
      <c r="E24" t="s">
        <v>121</v>
      </c>
      <c r="F24" t="s">
        <v>20</v>
      </c>
      <c r="G24">
        <v>1372</v>
      </c>
      <c r="H24">
        <v>20</v>
      </c>
      <c r="I24" t="s">
        <v>28</v>
      </c>
      <c r="J24" t="s">
        <v>40</v>
      </c>
      <c r="K24">
        <v>55</v>
      </c>
      <c r="L24">
        <v>1.5</v>
      </c>
      <c r="M24" t="s">
        <v>122</v>
      </c>
    </row>
    <row r="25" spans="1:13" x14ac:dyDescent="0.3">
      <c r="A25" t="s">
        <v>123</v>
      </c>
      <c r="B25" t="s">
        <v>4</v>
      </c>
      <c r="C25" t="s">
        <v>124</v>
      </c>
      <c r="D25">
        <v>7.7</v>
      </c>
      <c r="E25" t="s">
        <v>62</v>
      </c>
      <c r="F25" t="s">
        <v>20</v>
      </c>
      <c r="G25">
        <v>1682</v>
      </c>
      <c r="H25">
        <v>21</v>
      </c>
      <c r="I25" t="s">
        <v>73</v>
      </c>
      <c r="J25" t="s">
        <v>9</v>
      </c>
      <c r="K25">
        <v>180</v>
      </c>
      <c r="L25">
        <v>4</v>
      </c>
      <c r="M25" t="s">
        <v>125</v>
      </c>
    </row>
    <row r="26" spans="1:13" x14ac:dyDescent="0.3">
      <c r="A26" t="s">
        <v>126</v>
      </c>
      <c r="B26" t="s">
        <v>127</v>
      </c>
      <c r="C26" t="s">
        <v>128</v>
      </c>
      <c r="D26">
        <v>4</v>
      </c>
      <c r="E26" t="s">
        <v>56</v>
      </c>
      <c r="F26" t="s">
        <v>20</v>
      </c>
      <c r="G26">
        <v>447</v>
      </c>
      <c r="H26">
        <v>13</v>
      </c>
      <c r="I26" t="s">
        <v>28</v>
      </c>
      <c r="J26" t="s">
        <v>40</v>
      </c>
      <c r="K26">
        <v>60</v>
      </c>
      <c r="L26">
        <v>3</v>
      </c>
      <c r="M26" t="s">
        <v>129</v>
      </c>
    </row>
    <row r="27" spans="1:13" x14ac:dyDescent="0.3">
      <c r="A27" t="s">
        <v>130</v>
      </c>
      <c r="B27" t="s">
        <v>131</v>
      </c>
      <c r="C27" t="s">
        <v>132</v>
      </c>
      <c r="D27">
        <v>6</v>
      </c>
      <c r="E27" t="s">
        <v>84</v>
      </c>
      <c r="F27" t="s">
        <v>7</v>
      </c>
      <c r="G27">
        <v>2010</v>
      </c>
      <c r="H27">
        <v>45</v>
      </c>
      <c r="I27" t="s">
        <v>133</v>
      </c>
      <c r="J27" t="s">
        <v>134</v>
      </c>
      <c r="K27">
        <v>350</v>
      </c>
      <c r="L27">
        <v>2</v>
      </c>
      <c r="M27" t="s">
        <v>135</v>
      </c>
    </row>
    <row r="28" spans="1:13" x14ac:dyDescent="0.3">
      <c r="A28" t="s">
        <v>136</v>
      </c>
      <c r="B28" t="s">
        <v>137</v>
      </c>
      <c r="C28" t="s">
        <v>138</v>
      </c>
      <c r="D28">
        <v>5.5</v>
      </c>
      <c r="E28" t="s">
        <v>139</v>
      </c>
      <c r="F28" t="s">
        <v>20</v>
      </c>
      <c r="G28">
        <v>1859</v>
      </c>
      <c r="H28">
        <v>0</v>
      </c>
      <c r="I28" t="s">
        <v>73</v>
      </c>
      <c r="J28" t="s">
        <v>9</v>
      </c>
      <c r="K28">
        <v>65</v>
      </c>
      <c r="L28">
        <v>0.5</v>
      </c>
      <c r="M28" t="s">
        <v>140</v>
      </c>
    </row>
    <row r="29" spans="1:13" x14ac:dyDescent="0.3">
      <c r="A29" t="s">
        <v>141</v>
      </c>
      <c r="B29" t="s">
        <v>137</v>
      </c>
      <c r="C29" t="s">
        <v>138</v>
      </c>
      <c r="D29">
        <v>6.8</v>
      </c>
      <c r="E29" t="s">
        <v>88</v>
      </c>
      <c r="F29" t="s">
        <v>7</v>
      </c>
      <c r="G29">
        <v>1894</v>
      </c>
      <c r="H29">
        <v>0</v>
      </c>
      <c r="I29" t="s">
        <v>44</v>
      </c>
      <c r="J29" t="s">
        <v>9</v>
      </c>
      <c r="K29">
        <v>70</v>
      </c>
      <c r="L29">
        <v>1</v>
      </c>
      <c r="M29" t="s">
        <v>142</v>
      </c>
    </row>
    <row r="30" spans="1:13" x14ac:dyDescent="0.3">
      <c r="A30" t="s">
        <v>143</v>
      </c>
      <c r="B30" t="s">
        <v>137</v>
      </c>
      <c r="C30" t="s">
        <v>138</v>
      </c>
      <c r="D30">
        <v>15</v>
      </c>
      <c r="E30" t="s">
        <v>144</v>
      </c>
      <c r="F30" t="s">
        <v>7</v>
      </c>
      <c r="G30">
        <v>1703</v>
      </c>
      <c r="H30">
        <v>0</v>
      </c>
      <c r="I30" t="s">
        <v>145</v>
      </c>
      <c r="J30" t="s">
        <v>9</v>
      </c>
      <c r="K30">
        <v>120</v>
      </c>
      <c r="L30">
        <v>1</v>
      </c>
      <c r="M30" t="s">
        <v>146</v>
      </c>
    </row>
    <row r="31" spans="1:13" x14ac:dyDescent="0.3">
      <c r="A31" t="s">
        <v>147</v>
      </c>
      <c r="B31" t="s">
        <v>148</v>
      </c>
      <c r="C31" t="s">
        <v>149</v>
      </c>
      <c r="D31">
        <v>2.2000000000000002</v>
      </c>
      <c r="E31" t="s">
        <v>43</v>
      </c>
      <c r="F31" t="s">
        <v>7</v>
      </c>
      <c r="G31">
        <v>1931</v>
      </c>
      <c r="H31">
        <v>12</v>
      </c>
      <c r="I31" t="s">
        <v>15</v>
      </c>
      <c r="J31" t="s">
        <v>58</v>
      </c>
      <c r="K31">
        <v>35</v>
      </c>
      <c r="L31">
        <v>1.5</v>
      </c>
      <c r="M31" t="s">
        <v>150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490B3-09C4-451C-AC2B-2E2125203A8C}">
  <dimension ref="A1:O32"/>
  <sheetViews>
    <sheetView topLeftCell="H13" workbookViewId="0">
      <selection activeCell="N36" sqref="N36"/>
    </sheetView>
  </sheetViews>
  <sheetFormatPr defaultRowHeight="14.4" x14ac:dyDescent="0.3"/>
  <cols>
    <col min="1" max="1" width="21.77734375" bestFit="1" customWidth="1"/>
    <col min="2" max="2" width="18.44140625" bestFit="1" customWidth="1"/>
    <col min="3" max="3" width="14.6640625" bestFit="1" customWidth="1"/>
    <col min="4" max="4" width="23" bestFit="1" customWidth="1"/>
    <col min="5" max="5" width="20.5546875" bestFit="1" customWidth="1"/>
    <col min="6" max="6" width="23.44140625" customWidth="1"/>
    <col min="7" max="7" width="29.21875" bestFit="1" customWidth="1"/>
    <col min="8" max="8" width="15" bestFit="1" customWidth="1"/>
    <col min="9" max="9" width="19" bestFit="1" customWidth="1"/>
    <col min="10" max="10" width="14.6640625" bestFit="1" customWidth="1"/>
    <col min="11" max="11" width="28.44140625" style="2" bestFit="1" customWidth="1"/>
    <col min="12" max="12" width="27.6640625" style="3" bestFit="1" customWidth="1"/>
    <col min="13" max="13" width="18.44140625" bestFit="1" customWidth="1"/>
    <col min="14" max="14" width="15.5546875" bestFit="1" customWidth="1"/>
    <col min="15" max="15" width="47" bestFit="1" customWidth="1"/>
  </cols>
  <sheetData>
    <row r="1" spans="1:15" x14ac:dyDescent="0.3">
      <c r="A1" t="s">
        <v>151</v>
      </c>
      <c r="B1" t="s">
        <v>0</v>
      </c>
      <c r="C1" t="s">
        <v>1</v>
      </c>
      <c r="D1" t="s">
        <v>152</v>
      </c>
      <c r="E1" t="s">
        <v>2</v>
      </c>
      <c r="F1" t="s">
        <v>153</v>
      </c>
      <c r="G1" t="s">
        <v>154</v>
      </c>
      <c r="H1" t="s">
        <v>155</v>
      </c>
      <c r="I1" t="s">
        <v>156</v>
      </c>
      <c r="J1" t="s">
        <v>162</v>
      </c>
      <c r="K1" s="1" t="s">
        <v>159</v>
      </c>
      <c r="L1" s="2" t="s">
        <v>158</v>
      </c>
      <c r="M1" s="3" t="s">
        <v>161</v>
      </c>
      <c r="N1" s="3" t="s">
        <v>160</v>
      </c>
      <c r="O1" t="s">
        <v>157</v>
      </c>
    </row>
    <row r="2" spans="1:15" x14ac:dyDescent="0.3">
      <c r="A2" t="s">
        <v>3</v>
      </c>
      <c r="B2" t="s">
        <v>4</v>
      </c>
      <c r="C2" t="s">
        <v>5</v>
      </c>
      <c r="D2">
        <v>7</v>
      </c>
      <c r="E2" t="s">
        <v>6</v>
      </c>
      <c r="F2" t="s">
        <v>7</v>
      </c>
      <c r="G2">
        <v>1889</v>
      </c>
      <c r="H2">
        <v>35</v>
      </c>
      <c r="I2" t="s">
        <v>8</v>
      </c>
      <c r="J2" t="s">
        <v>9</v>
      </c>
      <c r="K2" s="1">
        <v>95</v>
      </c>
      <c r="L2" s="2">
        <v>2.5</v>
      </c>
      <c r="M2" s="3">
        <f>Table1[[#This Row],[Tourism Revenue Million USD]]/Table1[[#This Row],[Average Visit Duration Hours]]</f>
        <v>38</v>
      </c>
      <c r="N2" s="3" t="str">
        <f>IF(Table1[[#This Row],[Tourism Revenue Million USD]]&gt;80, "High", IF(Table1[[#This Row],[Tourism Revenue Million USD]]&gt;50, "Medium", "Low"))</f>
        <v>High</v>
      </c>
      <c r="O2" t="s">
        <v>10</v>
      </c>
    </row>
    <row r="3" spans="1:15" x14ac:dyDescent="0.3">
      <c r="A3" t="s">
        <v>11</v>
      </c>
      <c r="B3" t="s">
        <v>12</v>
      </c>
      <c r="C3" t="s">
        <v>13</v>
      </c>
      <c r="D3">
        <v>50</v>
      </c>
      <c r="E3" t="s">
        <v>14</v>
      </c>
      <c r="F3" t="s">
        <v>7</v>
      </c>
      <c r="G3">
        <v>1904</v>
      </c>
      <c r="H3">
        <v>0</v>
      </c>
      <c r="I3" t="s">
        <v>15</v>
      </c>
      <c r="J3" t="s">
        <v>16</v>
      </c>
      <c r="K3" s="1">
        <v>70</v>
      </c>
      <c r="L3" s="2">
        <v>1.5</v>
      </c>
      <c r="M3" s="3">
        <f>Table1[[#This Row],[Tourism Revenue Million USD]]/Table1[[#This Row],[Average Visit Duration Hours]]</f>
        <v>46.666666666666664</v>
      </c>
      <c r="N3" s="3" t="str">
        <f>IF(Table1[[#This Row],[Tourism Revenue Million USD]]&gt;80, "High", IF(Table1[[#This Row],[Tourism Revenue Million USD]]&gt;50, "Medium", "Low"))</f>
        <v>Medium</v>
      </c>
      <c r="O3" t="s">
        <v>17</v>
      </c>
    </row>
    <row r="4" spans="1:15" x14ac:dyDescent="0.3">
      <c r="A4" t="s">
        <v>18</v>
      </c>
      <c r="B4" t="s">
        <v>4</v>
      </c>
      <c r="C4" t="s">
        <v>5</v>
      </c>
      <c r="D4">
        <v>8.6999999999999993</v>
      </c>
      <c r="E4" t="s">
        <v>19</v>
      </c>
      <c r="F4" t="s">
        <v>20</v>
      </c>
      <c r="G4">
        <v>1793</v>
      </c>
      <c r="H4">
        <v>22</v>
      </c>
      <c r="I4" t="s">
        <v>21</v>
      </c>
      <c r="J4" t="s">
        <v>9</v>
      </c>
      <c r="K4" s="1">
        <v>120</v>
      </c>
      <c r="L4" s="2">
        <v>4</v>
      </c>
      <c r="M4" s="3">
        <f>Table1[[#This Row],[Tourism Revenue Million USD]]/Table1[[#This Row],[Average Visit Duration Hours]]</f>
        <v>30</v>
      </c>
      <c r="N4" s="3" t="str">
        <f>IF(Table1[[#This Row],[Tourism Revenue Million USD]]&gt;80, "High", IF(Table1[[#This Row],[Tourism Revenue Million USD]]&gt;50, "Medium", "Low"))</f>
        <v>High</v>
      </c>
      <c r="O4" t="s">
        <v>22</v>
      </c>
    </row>
    <row r="5" spans="1:15" x14ac:dyDescent="0.3">
      <c r="A5" t="s">
        <v>23</v>
      </c>
      <c r="B5" t="s">
        <v>24</v>
      </c>
      <c r="C5" t="s">
        <v>25</v>
      </c>
      <c r="D5">
        <v>10</v>
      </c>
      <c r="E5" t="s">
        <v>26</v>
      </c>
      <c r="F5" t="s">
        <v>20</v>
      </c>
      <c r="G5" t="s">
        <v>27</v>
      </c>
      <c r="H5">
        <v>10</v>
      </c>
      <c r="I5" t="s">
        <v>28</v>
      </c>
      <c r="J5" t="s">
        <v>29</v>
      </c>
      <c r="K5" s="1">
        <v>180</v>
      </c>
      <c r="L5" s="2">
        <v>4</v>
      </c>
      <c r="M5" s="3">
        <f>Table1[[#This Row],[Tourism Revenue Million USD]]/Table1[[#This Row],[Average Visit Duration Hours]]</f>
        <v>45</v>
      </c>
      <c r="N5" s="3" t="str">
        <f>IF(Table1[[#This Row],[Tourism Revenue Million USD]]&gt;80, "High", IF(Table1[[#This Row],[Tourism Revenue Million USD]]&gt;50, "Medium", "Low"))</f>
        <v>High</v>
      </c>
      <c r="O5" t="s">
        <v>30</v>
      </c>
    </row>
    <row r="6" spans="1:15" x14ac:dyDescent="0.3">
      <c r="A6" t="s">
        <v>31</v>
      </c>
      <c r="B6" t="s">
        <v>32</v>
      </c>
      <c r="C6" t="s">
        <v>33</v>
      </c>
      <c r="D6">
        <v>7.5</v>
      </c>
      <c r="E6" t="s">
        <v>34</v>
      </c>
      <c r="F6" t="s">
        <v>20</v>
      </c>
      <c r="G6">
        <v>1653</v>
      </c>
      <c r="H6">
        <v>15</v>
      </c>
      <c r="I6" t="s">
        <v>21</v>
      </c>
      <c r="J6" t="s">
        <v>35</v>
      </c>
      <c r="K6" s="1">
        <v>65</v>
      </c>
      <c r="L6" s="2">
        <v>2</v>
      </c>
      <c r="M6" s="3">
        <f>Table1[[#This Row],[Tourism Revenue Million USD]]/Table1[[#This Row],[Average Visit Duration Hours]]</f>
        <v>32.5</v>
      </c>
      <c r="N6" s="3" t="str">
        <f>IF(Table1[[#This Row],[Tourism Revenue Million USD]]&gt;80, "High", IF(Table1[[#This Row],[Tourism Revenue Million USD]]&gt;50, "Medium", "Low"))</f>
        <v>Medium</v>
      </c>
      <c r="O6" t="s">
        <v>36</v>
      </c>
    </row>
    <row r="7" spans="1:15" x14ac:dyDescent="0.3">
      <c r="A7" t="s">
        <v>37</v>
      </c>
      <c r="B7" t="s">
        <v>38</v>
      </c>
      <c r="C7" t="s">
        <v>39</v>
      </c>
      <c r="D7">
        <v>7.65</v>
      </c>
      <c r="E7" t="s">
        <v>26</v>
      </c>
      <c r="F7" t="s">
        <v>20</v>
      </c>
      <c r="G7">
        <v>80</v>
      </c>
      <c r="H7">
        <v>18</v>
      </c>
      <c r="I7" t="s">
        <v>28</v>
      </c>
      <c r="J7" t="s">
        <v>40</v>
      </c>
      <c r="K7" s="1">
        <v>85</v>
      </c>
      <c r="L7" s="2">
        <v>2.5</v>
      </c>
      <c r="M7" s="3">
        <f>Table1[[#This Row],[Tourism Revenue Million USD]]/Table1[[#This Row],[Average Visit Duration Hours]]</f>
        <v>34</v>
      </c>
      <c r="N7" s="3" t="str">
        <f>IF(Table1[[#This Row],[Tourism Revenue Million USD]]&gt;80, "High", IF(Table1[[#This Row],[Tourism Revenue Million USD]]&gt;50, "Medium", "Low"))</f>
        <v>High</v>
      </c>
      <c r="O7" t="s">
        <v>41</v>
      </c>
    </row>
    <row r="8" spans="1:15" x14ac:dyDescent="0.3">
      <c r="A8" t="s">
        <v>42</v>
      </c>
      <c r="B8" t="s">
        <v>12</v>
      </c>
      <c r="C8" t="s">
        <v>13</v>
      </c>
      <c r="D8">
        <v>4.3</v>
      </c>
      <c r="E8" t="s">
        <v>43</v>
      </c>
      <c r="F8" t="s">
        <v>20</v>
      </c>
      <c r="G8">
        <v>1886</v>
      </c>
      <c r="H8">
        <v>25</v>
      </c>
      <c r="I8" t="s">
        <v>44</v>
      </c>
      <c r="J8" t="s">
        <v>16</v>
      </c>
      <c r="K8" s="1">
        <v>45</v>
      </c>
      <c r="L8" s="2">
        <v>2</v>
      </c>
      <c r="M8" s="3">
        <f>Table1[[#This Row],[Tourism Revenue Million USD]]/Table1[[#This Row],[Average Visit Duration Hours]]</f>
        <v>22.5</v>
      </c>
      <c r="N8" s="3" t="str">
        <f>IF(Table1[[#This Row],[Tourism Revenue Million USD]]&gt;80, "High", IF(Table1[[#This Row],[Tourism Revenue Million USD]]&gt;50, "Medium", "Low"))</f>
        <v>Low</v>
      </c>
      <c r="O8" t="s">
        <v>45</v>
      </c>
    </row>
    <row r="9" spans="1:15" x14ac:dyDescent="0.3">
      <c r="A9" t="s">
        <v>46</v>
      </c>
      <c r="B9" t="s">
        <v>47</v>
      </c>
      <c r="C9" t="s">
        <v>48</v>
      </c>
      <c r="D9">
        <v>8.1999999999999993</v>
      </c>
      <c r="E9" t="s">
        <v>49</v>
      </c>
      <c r="F9" t="s">
        <v>20</v>
      </c>
      <c r="G9">
        <v>1973</v>
      </c>
      <c r="H9">
        <v>49</v>
      </c>
      <c r="I9" t="s">
        <v>50</v>
      </c>
      <c r="J9" t="s">
        <v>51</v>
      </c>
      <c r="K9" s="1">
        <v>110</v>
      </c>
      <c r="L9" s="2">
        <v>1.5</v>
      </c>
      <c r="M9" s="3">
        <f>Table1[[#This Row],[Tourism Revenue Million USD]]/Table1[[#This Row],[Average Visit Duration Hours]]</f>
        <v>73.333333333333329</v>
      </c>
      <c r="N9" s="3" t="str">
        <f>IF(Table1[[#This Row],[Tourism Revenue Million USD]]&gt;80, "High", IF(Table1[[#This Row],[Tourism Revenue Million USD]]&gt;50, "Medium", "Low"))</f>
        <v>High</v>
      </c>
      <c r="O9" t="s">
        <v>52</v>
      </c>
    </row>
    <row r="10" spans="1:15" x14ac:dyDescent="0.3">
      <c r="A10" t="s">
        <v>53</v>
      </c>
      <c r="B10" t="s">
        <v>54</v>
      </c>
      <c r="C10" t="s">
        <v>55</v>
      </c>
      <c r="D10">
        <v>1.5</v>
      </c>
      <c r="E10" t="s">
        <v>56</v>
      </c>
      <c r="F10" t="s">
        <v>20</v>
      </c>
      <c r="G10">
        <v>1450</v>
      </c>
      <c r="H10">
        <v>70</v>
      </c>
      <c r="I10" t="s">
        <v>57</v>
      </c>
      <c r="J10" t="s">
        <v>58</v>
      </c>
      <c r="K10" s="1">
        <v>180</v>
      </c>
      <c r="L10" s="2">
        <v>8</v>
      </c>
      <c r="M10" s="3">
        <f>Table1[[#This Row],[Tourism Revenue Million USD]]/Table1[[#This Row],[Average Visit Duration Hours]]</f>
        <v>22.5</v>
      </c>
      <c r="N10" s="3" t="str">
        <f>IF(Table1[[#This Row],[Tourism Revenue Million USD]]&gt;80, "High", IF(Table1[[#This Row],[Tourism Revenue Million USD]]&gt;50, "Medium", "Low"))</f>
        <v>High</v>
      </c>
      <c r="O10" t="s">
        <v>59</v>
      </c>
    </row>
    <row r="11" spans="1:15" x14ac:dyDescent="0.3">
      <c r="A11" t="s">
        <v>60</v>
      </c>
      <c r="B11" t="s">
        <v>24</v>
      </c>
      <c r="C11" t="s">
        <v>61</v>
      </c>
      <c r="D11">
        <v>9</v>
      </c>
      <c r="E11" t="s">
        <v>62</v>
      </c>
      <c r="F11" t="s">
        <v>20</v>
      </c>
      <c r="G11">
        <v>1420</v>
      </c>
      <c r="H11">
        <v>8</v>
      </c>
      <c r="I11" t="s">
        <v>28</v>
      </c>
      <c r="J11" t="s">
        <v>29</v>
      </c>
      <c r="K11" s="1">
        <v>75</v>
      </c>
      <c r="L11" s="2">
        <v>3</v>
      </c>
      <c r="M11" s="3">
        <f>Table1[[#This Row],[Tourism Revenue Million USD]]/Table1[[#This Row],[Average Visit Duration Hours]]</f>
        <v>25</v>
      </c>
      <c r="N11" s="3" t="str">
        <f>IF(Table1[[#This Row],[Tourism Revenue Million USD]]&gt;80, "High", IF(Table1[[#This Row],[Tourism Revenue Million USD]]&gt;50, "Medium", "Low"))</f>
        <v>Medium</v>
      </c>
      <c r="O11" t="s">
        <v>63</v>
      </c>
    </row>
    <row r="12" spans="1:15" x14ac:dyDescent="0.3">
      <c r="A12" t="s">
        <v>64</v>
      </c>
      <c r="B12" t="s">
        <v>65</v>
      </c>
      <c r="C12" t="s">
        <v>66</v>
      </c>
      <c r="D12">
        <v>2.6</v>
      </c>
      <c r="E12" t="s">
        <v>67</v>
      </c>
      <c r="F12" t="s">
        <v>20</v>
      </c>
      <c r="G12">
        <v>1150</v>
      </c>
      <c r="H12">
        <v>37</v>
      </c>
      <c r="I12" t="s">
        <v>68</v>
      </c>
      <c r="J12" t="s">
        <v>69</v>
      </c>
      <c r="K12" s="1">
        <v>90</v>
      </c>
      <c r="L12" s="2">
        <v>6</v>
      </c>
      <c r="M12" s="3">
        <f>Table1[[#This Row],[Tourism Revenue Million USD]]/Table1[[#This Row],[Average Visit Duration Hours]]</f>
        <v>15</v>
      </c>
      <c r="N12" s="3" t="str">
        <f>IF(Table1[[#This Row],[Tourism Revenue Million USD]]&gt;80, "High", IF(Table1[[#This Row],[Tourism Revenue Million USD]]&gt;50, "Medium", "Low"))</f>
        <v>High</v>
      </c>
      <c r="O12" t="s">
        <v>70</v>
      </c>
    </row>
    <row r="13" spans="1:15" x14ac:dyDescent="0.3">
      <c r="A13" t="s">
        <v>71</v>
      </c>
      <c r="B13" t="s">
        <v>4</v>
      </c>
      <c r="C13" t="s">
        <v>5</v>
      </c>
      <c r="D13">
        <v>13</v>
      </c>
      <c r="E13" t="s">
        <v>72</v>
      </c>
      <c r="F13" t="s">
        <v>20</v>
      </c>
      <c r="G13">
        <v>1345</v>
      </c>
      <c r="H13">
        <v>0</v>
      </c>
      <c r="I13" t="s">
        <v>73</v>
      </c>
      <c r="J13" t="s">
        <v>9</v>
      </c>
      <c r="K13" s="1">
        <v>50</v>
      </c>
      <c r="L13" s="2">
        <v>1</v>
      </c>
      <c r="M13" s="3">
        <f>Table1[[#This Row],[Tourism Revenue Million USD]]/Table1[[#This Row],[Average Visit Duration Hours]]</f>
        <v>50</v>
      </c>
      <c r="N13" s="3" t="str">
        <f>IF(Table1[[#This Row],[Tourism Revenue Million USD]]&gt;80, "High", IF(Table1[[#This Row],[Tourism Revenue Million USD]]&gt;50, "Medium", "Low"))</f>
        <v>Low</v>
      </c>
      <c r="O13" t="s">
        <v>74</v>
      </c>
    </row>
    <row r="14" spans="1:15" x14ac:dyDescent="0.3">
      <c r="A14" t="s">
        <v>75</v>
      </c>
      <c r="B14" t="s">
        <v>12</v>
      </c>
      <c r="C14" t="s">
        <v>13</v>
      </c>
      <c r="D14">
        <v>42</v>
      </c>
      <c r="E14" t="s">
        <v>76</v>
      </c>
      <c r="F14" t="s">
        <v>7</v>
      </c>
      <c r="G14">
        <v>1857</v>
      </c>
      <c r="H14">
        <v>0</v>
      </c>
      <c r="I14" t="s">
        <v>44</v>
      </c>
      <c r="J14" t="s">
        <v>16</v>
      </c>
      <c r="K14" s="1">
        <v>35</v>
      </c>
      <c r="L14" s="2">
        <v>3</v>
      </c>
      <c r="M14" s="3">
        <f>Table1[[#This Row],[Tourism Revenue Million USD]]/Table1[[#This Row],[Average Visit Duration Hours]]</f>
        <v>11.666666666666666</v>
      </c>
      <c r="N14" s="3" t="str">
        <f>IF(Table1[[#This Row],[Tourism Revenue Million USD]]&gt;80, "High", IF(Table1[[#This Row],[Tourism Revenue Million USD]]&gt;50, "Medium", "Low"))</f>
        <v>Low</v>
      </c>
      <c r="O14" t="s">
        <v>77</v>
      </c>
    </row>
    <row r="15" spans="1:15" x14ac:dyDescent="0.3">
      <c r="A15" t="s">
        <v>78</v>
      </c>
      <c r="B15" t="s">
        <v>12</v>
      </c>
      <c r="C15" t="s">
        <v>79</v>
      </c>
      <c r="D15">
        <v>41.7</v>
      </c>
      <c r="E15" t="s">
        <v>80</v>
      </c>
      <c r="F15" t="s">
        <v>7</v>
      </c>
      <c r="G15">
        <v>1905</v>
      </c>
      <c r="H15">
        <v>0</v>
      </c>
      <c r="I15" t="s">
        <v>81</v>
      </c>
      <c r="J15" t="s">
        <v>16</v>
      </c>
      <c r="K15" s="1">
        <v>6800</v>
      </c>
      <c r="L15" s="2">
        <v>8</v>
      </c>
      <c r="M15" s="3">
        <f>Table1[[#This Row],[Tourism Revenue Million USD]]/Table1[[#This Row],[Average Visit Duration Hours]]</f>
        <v>850</v>
      </c>
      <c r="N15" s="3" t="str">
        <f>IF(Table1[[#This Row],[Tourism Revenue Million USD]]&gt;80, "High", IF(Table1[[#This Row],[Tourism Revenue Million USD]]&gt;50, "Medium", "Low"))</f>
        <v>High</v>
      </c>
      <c r="O15" t="s">
        <v>82</v>
      </c>
    </row>
    <row r="16" spans="1:15" x14ac:dyDescent="0.3">
      <c r="A16" t="s">
        <v>83</v>
      </c>
      <c r="B16" t="s">
        <v>12</v>
      </c>
      <c r="C16" t="s">
        <v>13</v>
      </c>
      <c r="D16">
        <v>4.5999999999999996</v>
      </c>
      <c r="E16" t="s">
        <v>84</v>
      </c>
      <c r="F16" t="s">
        <v>7</v>
      </c>
      <c r="G16">
        <v>1931</v>
      </c>
      <c r="H16">
        <v>44</v>
      </c>
      <c r="I16" t="s">
        <v>44</v>
      </c>
      <c r="J16" t="s">
        <v>16</v>
      </c>
      <c r="K16" s="1">
        <v>115</v>
      </c>
      <c r="L16" s="2">
        <v>1.5</v>
      </c>
      <c r="M16" s="3">
        <f>Table1[[#This Row],[Tourism Revenue Million USD]]/Table1[[#This Row],[Average Visit Duration Hours]]</f>
        <v>76.666666666666671</v>
      </c>
      <c r="N16" s="3" t="str">
        <f>IF(Table1[[#This Row],[Tourism Revenue Million USD]]&gt;80, "High", IF(Table1[[#This Row],[Tourism Revenue Million USD]]&gt;50, "Medium", "Low"))</f>
        <v>High</v>
      </c>
      <c r="O16" t="s">
        <v>85</v>
      </c>
    </row>
    <row r="17" spans="1:15" x14ac:dyDescent="0.3">
      <c r="A17" t="s">
        <v>86</v>
      </c>
      <c r="B17" t="s">
        <v>12</v>
      </c>
      <c r="C17" t="s">
        <v>87</v>
      </c>
      <c r="D17">
        <v>15</v>
      </c>
      <c r="E17" t="s">
        <v>88</v>
      </c>
      <c r="F17" t="s">
        <v>7</v>
      </c>
      <c r="G17">
        <v>1937</v>
      </c>
      <c r="H17">
        <v>0</v>
      </c>
      <c r="I17" t="s">
        <v>50</v>
      </c>
      <c r="J17" t="s">
        <v>16</v>
      </c>
      <c r="K17" s="1">
        <v>80</v>
      </c>
      <c r="L17" s="2">
        <v>1</v>
      </c>
      <c r="M17" s="3">
        <f>Table1[[#This Row],[Tourism Revenue Million USD]]/Table1[[#This Row],[Average Visit Duration Hours]]</f>
        <v>80</v>
      </c>
      <c r="N17" s="3" t="str">
        <f>IF(Table1[[#This Row],[Tourism Revenue Million USD]]&gt;80, "High", IF(Table1[[#This Row],[Tourism Revenue Million USD]]&gt;50, "Medium", "Low"))</f>
        <v>Medium</v>
      </c>
      <c r="O17" t="s">
        <v>89</v>
      </c>
    </row>
    <row r="18" spans="1:15" x14ac:dyDescent="0.3">
      <c r="A18" t="s">
        <v>90</v>
      </c>
      <c r="B18" t="s">
        <v>12</v>
      </c>
      <c r="C18" t="s">
        <v>91</v>
      </c>
      <c r="D18">
        <v>8.5</v>
      </c>
      <c r="E18" t="s">
        <v>92</v>
      </c>
      <c r="F18" t="s">
        <v>7</v>
      </c>
      <c r="G18">
        <v>1922</v>
      </c>
      <c r="H18">
        <v>0</v>
      </c>
      <c r="I18" t="s">
        <v>73</v>
      </c>
      <c r="J18" t="s">
        <v>16</v>
      </c>
      <c r="K18" s="1">
        <v>25</v>
      </c>
      <c r="L18" s="2">
        <v>1</v>
      </c>
      <c r="M18" s="3">
        <f>Table1[[#This Row],[Tourism Revenue Million USD]]/Table1[[#This Row],[Average Visit Duration Hours]]</f>
        <v>25</v>
      </c>
      <c r="N18" s="3" t="str">
        <f>IF(Table1[[#This Row],[Tourism Revenue Million USD]]&gt;80, "High", IF(Table1[[#This Row],[Tourism Revenue Million USD]]&gt;50, "Medium", "Low"))</f>
        <v>Low</v>
      </c>
      <c r="O18" t="s">
        <v>93</v>
      </c>
    </row>
    <row r="19" spans="1:15" x14ac:dyDescent="0.3">
      <c r="A19" t="s">
        <v>94</v>
      </c>
      <c r="B19" t="s">
        <v>95</v>
      </c>
      <c r="C19" t="s">
        <v>96</v>
      </c>
      <c r="D19">
        <v>4.7</v>
      </c>
      <c r="E19" t="s">
        <v>72</v>
      </c>
      <c r="F19" t="s">
        <v>20</v>
      </c>
      <c r="G19" t="s">
        <v>97</v>
      </c>
      <c r="H19">
        <v>26</v>
      </c>
      <c r="I19" t="s">
        <v>73</v>
      </c>
      <c r="J19" t="s">
        <v>40</v>
      </c>
      <c r="K19" s="1">
        <v>130</v>
      </c>
      <c r="L19" s="2">
        <v>2</v>
      </c>
      <c r="M19" s="3">
        <f>Table1[[#This Row],[Tourism Revenue Million USD]]/Table1[[#This Row],[Average Visit Duration Hours]]</f>
        <v>65</v>
      </c>
      <c r="N19" s="3" t="str">
        <f>IF(Table1[[#This Row],[Tourism Revenue Million USD]]&gt;80, "High", IF(Table1[[#This Row],[Tourism Revenue Million USD]]&gt;50, "Medium", "Low"))</f>
        <v>High</v>
      </c>
      <c r="O19" t="s">
        <v>98</v>
      </c>
    </row>
    <row r="20" spans="1:15" x14ac:dyDescent="0.3">
      <c r="A20" t="s">
        <v>99</v>
      </c>
      <c r="B20" t="s">
        <v>12</v>
      </c>
      <c r="C20" t="s">
        <v>100</v>
      </c>
      <c r="D20">
        <v>16</v>
      </c>
      <c r="E20" t="s">
        <v>101</v>
      </c>
      <c r="F20" t="s">
        <v>7</v>
      </c>
      <c r="G20">
        <v>1955</v>
      </c>
      <c r="H20">
        <v>104</v>
      </c>
      <c r="I20" t="s">
        <v>102</v>
      </c>
      <c r="J20" t="s">
        <v>16</v>
      </c>
      <c r="K20" s="1">
        <v>3200</v>
      </c>
      <c r="L20" s="2">
        <v>8</v>
      </c>
      <c r="M20" s="3">
        <f>Table1[[#This Row],[Tourism Revenue Million USD]]/Table1[[#This Row],[Average Visit Duration Hours]]</f>
        <v>400</v>
      </c>
      <c r="N20" s="3" t="str">
        <f>IF(Table1[[#This Row],[Tourism Revenue Million USD]]&gt;80, "High", IF(Table1[[#This Row],[Tourism Revenue Million USD]]&gt;50, "Medium", "Low"))</f>
        <v>High</v>
      </c>
      <c r="O20" t="s">
        <v>103</v>
      </c>
    </row>
    <row r="21" spans="1:15" x14ac:dyDescent="0.3">
      <c r="A21" t="s">
        <v>104</v>
      </c>
      <c r="B21" t="s">
        <v>12</v>
      </c>
      <c r="C21" t="s">
        <v>105</v>
      </c>
      <c r="D21">
        <v>17</v>
      </c>
      <c r="E21" t="s">
        <v>101</v>
      </c>
      <c r="F21" t="s">
        <v>7</v>
      </c>
      <c r="G21">
        <v>1971</v>
      </c>
      <c r="H21">
        <v>109</v>
      </c>
      <c r="I21" t="s">
        <v>106</v>
      </c>
      <c r="J21" t="s">
        <v>16</v>
      </c>
      <c r="K21" s="1">
        <v>4500</v>
      </c>
      <c r="L21" s="2">
        <v>10</v>
      </c>
      <c r="M21" s="3">
        <f>Table1[[#This Row],[Tourism Revenue Million USD]]/Table1[[#This Row],[Average Visit Duration Hours]]</f>
        <v>450</v>
      </c>
      <c r="N21" s="3" t="str">
        <f>IF(Table1[[#This Row],[Tourism Revenue Million USD]]&gt;80, "High", IF(Table1[[#This Row],[Tourism Revenue Million USD]]&gt;50, "Medium", "Low"))</f>
        <v>High</v>
      </c>
      <c r="O21" t="s">
        <v>107</v>
      </c>
    </row>
    <row r="22" spans="1:15" x14ac:dyDescent="0.3">
      <c r="A22" t="s">
        <v>108</v>
      </c>
      <c r="B22" t="s">
        <v>12</v>
      </c>
      <c r="C22" t="s">
        <v>109</v>
      </c>
      <c r="D22">
        <v>6</v>
      </c>
      <c r="E22" t="s">
        <v>110</v>
      </c>
      <c r="F22" t="s">
        <v>20</v>
      </c>
      <c r="G22" t="s">
        <v>111</v>
      </c>
      <c r="H22">
        <v>35</v>
      </c>
      <c r="I22" t="s">
        <v>81</v>
      </c>
      <c r="J22" t="s">
        <v>16</v>
      </c>
      <c r="K22" s="1">
        <v>780</v>
      </c>
      <c r="L22" s="2">
        <v>5</v>
      </c>
      <c r="M22" s="3">
        <f>Table1[[#This Row],[Tourism Revenue Million USD]]/Table1[[#This Row],[Average Visit Duration Hours]]</f>
        <v>156</v>
      </c>
      <c r="N22" s="3" t="str">
        <f>IF(Table1[[#This Row],[Tourism Revenue Million USD]]&gt;80, "High", IF(Table1[[#This Row],[Tourism Revenue Million USD]]&gt;50, "Medium", "Low"))</f>
        <v>High</v>
      </c>
      <c r="O22" t="s">
        <v>112</v>
      </c>
    </row>
    <row r="23" spans="1:15" x14ac:dyDescent="0.3">
      <c r="A23" t="s">
        <v>113</v>
      </c>
      <c r="B23" t="s">
        <v>114</v>
      </c>
      <c r="C23" t="s">
        <v>115</v>
      </c>
      <c r="D23">
        <v>2.8</v>
      </c>
      <c r="E23" t="s">
        <v>26</v>
      </c>
      <c r="F23" t="s">
        <v>20</v>
      </c>
      <c r="G23">
        <v>2550</v>
      </c>
      <c r="H23">
        <v>20</v>
      </c>
      <c r="I23" t="s">
        <v>116</v>
      </c>
      <c r="J23" t="s">
        <v>117</v>
      </c>
      <c r="K23" s="1">
        <v>40</v>
      </c>
      <c r="L23" s="2">
        <v>3</v>
      </c>
      <c r="M23" s="3">
        <f>Table1[[#This Row],[Tourism Revenue Million USD]]/Table1[[#This Row],[Average Visit Duration Hours]]</f>
        <v>13.333333333333334</v>
      </c>
      <c r="N23" s="3" t="str">
        <f>IF(Table1[[#This Row],[Tourism Revenue Million USD]]&gt;80, "High", IF(Table1[[#This Row],[Tourism Revenue Million USD]]&gt;50, "Medium", "Low"))</f>
        <v>Low</v>
      </c>
      <c r="O23" t="s">
        <v>118</v>
      </c>
    </row>
    <row r="24" spans="1:15" x14ac:dyDescent="0.3">
      <c r="A24" t="s">
        <v>119</v>
      </c>
      <c r="B24" t="s">
        <v>38</v>
      </c>
      <c r="C24" t="s">
        <v>120</v>
      </c>
      <c r="D24">
        <v>5</v>
      </c>
      <c r="E24" t="s">
        <v>121</v>
      </c>
      <c r="F24" t="s">
        <v>20</v>
      </c>
      <c r="G24">
        <v>1372</v>
      </c>
      <c r="H24">
        <v>20</v>
      </c>
      <c r="I24" t="s">
        <v>28</v>
      </c>
      <c r="J24" t="s">
        <v>40</v>
      </c>
      <c r="K24" s="1">
        <v>55</v>
      </c>
      <c r="L24" s="2">
        <v>1.5</v>
      </c>
      <c r="M24" s="3">
        <f>Table1[[#This Row],[Tourism Revenue Million USD]]/Table1[[#This Row],[Average Visit Duration Hours]]</f>
        <v>36.666666666666664</v>
      </c>
      <c r="N24" s="3" t="str">
        <f>IF(Table1[[#This Row],[Tourism Revenue Million USD]]&gt;80, "High", IF(Table1[[#This Row],[Tourism Revenue Million USD]]&gt;50, "Medium", "Low"))</f>
        <v>Medium</v>
      </c>
      <c r="O24" t="s">
        <v>122</v>
      </c>
    </row>
    <row r="25" spans="1:15" x14ac:dyDescent="0.3">
      <c r="A25" t="s">
        <v>123</v>
      </c>
      <c r="B25" t="s">
        <v>4</v>
      </c>
      <c r="C25" t="s">
        <v>124</v>
      </c>
      <c r="D25">
        <v>7.7</v>
      </c>
      <c r="E25" t="s">
        <v>62</v>
      </c>
      <c r="F25" t="s">
        <v>20</v>
      </c>
      <c r="G25">
        <v>1682</v>
      </c>
      <c r="H25">
        <v>21</v>
      </c>
      <c r="I25" t="s">
        <v>73</v>
      </c>
      <c r="J25" t="s">
        <v>9</v>
      </c>
      <c r="K25" s="1">
        <v>180</v>
      </c>
      <c r="L25" s="2">
        <v>4</v>
      </c>
      <c r="M25" s="3">
        <f>Table1[[#This Row],[Tourism Revenue Million USD]]/Table1[[#This Row],[Average Visit Duration Hours]]</f>
        <v>45</v>
      </c>
      <c r="N25" s="3" t="str">
        <f>IF(Table1[[#This Row],[Tourism Revenue Million USD]]&gt;80, "High", IF(Table1[[#This Row],[Tourism Revenue Million USD]]&gt;50, "Medium", "Low"))</f>
        <v>High</v>
      </c>
      <c r="O25" t="s">
        <v>125</v>
      </c>
    </row>
    <row r="26" spans="1:15" x14ac:dyDescent="0.3">
      <c r="A26" t="s">
        <v>126</v>
      </c>
      <c r="B26" t="s">
        <v>127</v>
      </c>
      <c r="C26" t="s">
        <v>128</v>
      </c>
      <c r="D26">
        <v>4</v>
      </c>
      <c r="E26" t="s">
        <v>56</v>
      </c>
      <c r="F26" t="s">
        <v>20</v>
      </c>
      <c r="G26">
        <v>447</v>
      </c>
      <c r="H26">
        <v>13</v>
      </c>
      <c r="I26" t="s">
        <v>28</v>
      </c>
      <c r="J26" t="s">
        <v>40</v>
      </c>
      <c r="K26" s="1">
        <v>60</v>
      </c>
      <c r="L26" s="2">
        <v>3</v>
      </c>
      <c r="M26" s="3">
        <f>Table1[[#This Row],[Tourism Revenue Million USD]]/Table1[[#This Row],[Average Visit Duration Hours]]</f>
        <v>20</v>
      </c>
      <c r="N26" s="3" t="str">
        <f>IF(Table1[[#This Row],[Tourism Revenue Million USD]]&gt;80, "High", IF(Table1[[#This Row],[Tourism Revenue Million USD]]&gt;50, "Medium", "Low"))</f>
        <v>Medium</v>
      </c>
      <c r="O26" t="s">
        <v>129</v>
      </c>
    </row>
    <row r="27" spans="1:15" x14ac:dyDescent="0.3">
      <c r="A27" t="s">
        <v>130</v>
      </c>
      <c r="B27" t="s">
        <v>131</v>
      </c>
      <c r="C27" t="s">
        <v>132</v>
      </c>
      <c r="D27">
        <v>6</v>
      </c>
      <c r="E27" t="s">
        <v>84</v>
      </c>
      <c r="F27" t="s">
        <v>7</v>
      </c>
      <c r="G27">
        <v>2010</v>
      </c>
      <c r="H27">
        <v>45</v>
      </c>
      <c r="I27" t="s">
        <v>133</v>
      </c>
      <c r="J27" t="s">
        <v>134</v>
      </c>
      <c r="K27" s="1">
        <v>350</v>
      </c>
      <c r="L27" s="2">
        <v>2</v>
      </c>
      <c r="M27" s="3">
        <f>Table1[[#This Row],[Tourism Revenue Million USD]]/Table1[[#This Row],[Average Visit Duration Hours]]</f>
        <v>175</v>
      </c>
      <c r="N27" s="3" t="str">
        <f>IF(Table1[[#This Row],[Tourism Revenue Million USD]]&gt;80, "High", IF(Table1[[#This Row],[Tourism Revenue Million USD]]&gt;50, "Medium", "Low"))</f>
        <v>High</v>
      </c>
      <c r="O27" t="s">
        <v>135</v>
      </c>
    </row>
    <row r="28" spans="1:15" x14ac:dyDescent="0.3">
      <c r="A28" t="s">
        <v>136</v>
      </c>
      <c r="B28" t="s">
        <v>137</v>
      </c>
      <c r="C28" t="s">
        <v>138</v>
      </c>
      <c r="D28">
        <v>5.5</v>
      </c>
      <c r="E28" t="s">
        <v>139</v>
      </c>
      <c r="F28" t="s">
        <v>20</v>
      </c>
      <c r="G28">
        <v>1859</v>
      </c>
      <c r="H28">
        <v>0</v>
      </c>
      <c r="I28" t="s">
        <v>73</v>
      </c>
      <c r="J28" t="s">
        <v>9</v>
      </c>
      <c r="K28" s="1">
        <v>65</v>
      </c>
      <c r="L28" s="2">
        <v>0.5</v>
      </c>
      <c r="M28" s="3">
        <f>Table1[[#This Row],[Tourism Revenue Million USD]]/Table1[[#This Row],[Average Visit Duration Hours]]</f>
        <v>130</v>
      </c>
      <c r="N28" s="3" t="str">
        <f>IF(Table1[[#This Row],[Tourism Revenue Million USD]]&gt;80, "High", IF(Table1[[#This Row],[Tourism Revenue Million USD]]&gt;50, "Medium", "Low"))</f>
        <v>Medium</v>
      </c>
      <c r="O28" t="s">
        <v>140</v>
      </c>
    </row>
    <row r="29" spans="1:15" x14ac:dyDescent="0.3">
      <c r="A29" t="s">
        <v>141</v>
      </c>
      <c r="B29" t="s">
        <v>137</v>
      </c>
      <c r="C29" t="s">
        <v>138</v>
      </c>
      <c r="D29">
        <v>6.8</v>
      </c>
      <c r="E29" t="s">
        <v>88</v>
      </c>
      <c r="F29" t="s">
        <v>7</v>
      </c>
      <c r="G29">
        <v>1894</v>
      </c>
      <c r="H29">
        <v>0</v>
      </c>
      <c r="I29" t="s">
        <v>44</v>
      </c>
      <c r="J29" t="s">
        <v>9</v>
      </c>
      <c r="K29" s="1">
        <v>70</v>
      </c>
      <c r="L29" s="2">
        <v>1</v>
      </c>
      <c r="M29" s="3">
        <f>Table1[[#This Row],[Tourism Revenue Million USD]]/Table1[[#This Row],[Average Visit Duration Hours]]</f>
        <v>70</v>
      </c>
      <c r="N29" s="3" t="str">
        <f>IF(Table1[[#This Row],[Tourism Revenue Million USD]]&gt;80, "High", IF(Table1[[#This Row],[Tourism Revenue Million USD]]&gt;50, "Medium", "Low"))</f>
        <v>Medium</v>
      </c>
      <c r="O29" t="s">
        <v>142</v>
      </c>
    </row>
    <row r="30" spans="1:15" x14ac:dyDescent="0.3">
      <c r="A30" t="s">
        <v>143</v>
      </c>
      <c r="B30" t="s">
        <v>137</v>
      </c>
      <c r="C30" t="s">
        <v>138</v>
      </c>
      <c r="D30">
        <v>15</v>
      </c>
      <c r="E30" t="s">
        <v>144</v>
      </c>
      <c r="F30" t="s">
        <v>7</v>
      </c>
      <c r="G30">
        <v>1703</v>
      </c>
      <c r="H30">
        <v>0</v>
      </c>
      <c r="I30" t="s">
        <v>145</v>
      </c>
      <c r="J30" t="s">
        <v>9</v>
      </c>
      <c r="K30" s="1">
        <v>120</v>
      </c>
      <c r="L30" s="2">
        <v>1</v>
      </c>
      <c r="M30" s="3">
        <f>Table1[[#This Row],[Tourism Revenue Million USD]]/Table1[[#This Row],[Average Visit Duration Hours]]</f>
        <v>120</v>
      </c>
      <c r="N30" s="3" t="str">
        <f>IF(Table1[[#This Row],[Tourism Revenue Million USD]]&gt;80, "High", IF(Table1[[#This Row],[Tourism Revenue Million USD]]&gt;50, "Medium", "Low"))</f>
        <v>High</v>
      </c>
      <c r="O30" t="s">
        <v>146</v>
      </c>
    </row>
    <row r="31" spans="1:15" x14ac:dyDescent="0.3">
      <c r="A31" t="s">
        <v>147</v>
      </c>
      <c r="B31" t="s">
        <v>148</v>
      </c>
      <c r="C31" t="s">
        <v>149</v>
      </c>
      <c r="D31">
        <v>2.2000000000000002</v>
      </c>
      <c r="E31" t="s">
        <v>43</v>
      </c>
      <c r="F31" t="s">
        <v>7</v>
      </c>
      <c r="G31">
        <v>1931</v>
      </c>
      <c r="H31">
        <v>12</v>
      </c>
      <c r="I31" t="s">
        <v>15</v>
      </c>
      <c r="J31" t="s">
        <v>58</v>
      </c>
      <c r="K31" s="1">
        <v>35</v>
      </c>
      <c r="L31" s="2">
        <v>1.5</v>
      </c>
      <c r="M31" s="3">
        <f>Table1[[#This Row],[Tourism Revenue Million USD]]/Table1[[#This Row],[Average Visit Duration Hours]]</f>
        <v>23.333333333333332</v>
      </c>
      <c r="N31" s="3" t="str">
        <f>IF(Table1[[#This Row],[Tourism Revenue Million USD]]&gt;80, "High", IF(Table1[[#This Row],[Tourism Revenue Million USD]]&gt;50, "Medium", "Low"))</f>
        <v>Low</v>
      </c>
      <c r="O31" t="s">
        <v>150</v>
      </c>
    </row>
    <row r="32" spans="1:15" x14ac:dyDescent="0.3">
      <c r="K32" s="1">
        <f>SUM(Table1[Tourism Revenue Million USD])</f>
        <v>17805</v>
      </c>
      <c r="L32" s="2"/>
      <c r="M32" s="3"/>
      <c r="N32" s="3"/>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2DDA3-C0AC-431A-BA8F-D7AB380DACB8}">
  <dimension ref="A1:B106"/>
  <sheetViews>
    <sheetView tabSelected="1" workbookViewId="0">
      <selection activeCell="C20" sqref="C20"/>
    </sheetView>
  </sheetViews>
  <sheetFormatPr defaultRowHeight="14.4" x14ac:dyDescent="0.3"/>
  <cols>
    <col min="1" max="1" width="32" bestFit="1" customWidth="1"/>
    <col min="2" max="3" width="32.77734375" bestFit="1" customWidth="1"/>
  </cols>
  <sheetData>
    <row r="1" spans="1:2" x14ac:dyDescent="0.3">
      <c r="A1" s="4" t="s">
        <v>163</v>
      </c>
      <c r="B1" t="s">
        <v>165</v>
      </c>
    </row>
    <row r="2" spans="1:2" x14ac:dyDescent="0.3">
      <c r="A2" s="5" t="s">
        <v>47</v>
      </c>
      <c r="B2" s="14">
        <v>1</v>
      </c>
    </row>
    <row r="3" spans="1:2" x14ac:dyDescent="0.3">
      <c r="A3" s="5" t="s">
        <v>148</v>
      </c>
      <c r="B3" s="14">
        <v>1</v>
      </c>
    </row>
    <row r="4" spans="1:2" x14ac:dyDescent="0.3">
      <c r="A4" s="5" t="s">
        <v>65</v>
      </c>
      <c r="B4" s="14">
        <v>1</v>
      </c>
    </row>
    <row r="5" spans="1:2" x14ac:dyDescent="0.3">
      <c r="A5" s="5" t="s">
        <v>24</v>
      </c>
      <c r="B5" s="14">
        <v>2</v>
      </c>
    </row>
    <row r="6" spans="1:2" x14ac:dyDescent="0.3">
      <c r="A6" s="5" t="s">
        <v>114</v>
      </c>
      <c r="B6" s="14">
        <v>1</v>
      </c>
    </row>
    <row r="7" spans="1:2" x14ac:dyDescent="0.3">
      <c r="A7" s="5" t="s">
        <v>4</v>
      </c>
      <c r="B7" s="14">
        <v>4</v>
      </c>
    </row>
    <row r="8" spans="1:2" x14ac:dyDescent="0.3">
      <c r="A8" s="5" t="s">
        <v>127</v>
      </c>
      <c r="B8" s="14">
        <v>1</v>
      </c>
    </row>
    <row r="9" spans="1:2" x14ac:dyDescent="0.3">
      <c r="A9" s="5" t="s">
        <v>32</v>
      </c>
      <c r="B9" s="14">
        <v>1</v>
      </c>
    </row>
    <row r="10" spans="1:2" x14ac:dyDescent="0.3">
      <c r="A10" s="5" t="s">
        <v>38</v>
      </c>
      <c r="B10" s="14">
        <v>2</v>
      </c>
    </row>
    <row r="11" spans="1:2" x14ac:dyDescent="0.3">
      <c r="A11" s="5" t="s">
        <v>54</v>
      </c>
      <c r="B11" s="14">
        <v>1</v>
      </c>
    </row>
    <row r="12" spans="1:2" x14ac:dyDescent="0.3">
      <c r="A12" s="5" t="s">
        <v>95</v>
      </c>
      <c r="B12" s="14">
        <v>1</v>
      </c>
    </row>
    <row r="13" spans="1:2" x14ac:dyDescent="0.3">
      <c r="A13" s="5" t="s">
        <v>131</v>
      </c>
      <c r="B13" s="14">
        <v>1</v>
      </c>
    </row>
    <row r="14" spans="1:2" x14ac:dyDescent="0.3">
      <c r="A14" s="5" t="s">
        <v>137</v>
      </c>
      <c r="B14" s="14">
        <v>3</v>
      </c>
    </row>
    <row r="15" spans="1:2" x14ac:dyDescent="0.3">
      <c r="A15" s="5" t="s">
        <v>12</v>
      </c>
      <c r="B15" s="14">
        <v>10</v>
      </c>
    </row>
    <row r="16" spans="1:2" x14ac:dyDescent="0.3">
      <c r="A16" s="5" t="s">
        <v>164</v>
      </c>
      <c r="B16" s="14">
        <v>30</v>
      </c>
    </row>
    <row r="19" spans="1:2" x14ac:dyDescent="0.3">
      <c r="A19" s="4" t="s">
        <v>163</v>
      </c>
      <c r="B19" t="s">
        <v>167</v>
      </c>
    </row>
    <row r="20" spans="1:2" x14ac:dyDescent="0.3">
      <c r="A20" s="5" t="s">
        <v>92</v>
      </c>
      <c r="B20" s="1">
        <v>25</v>
      </c>
    </row>
    <row r="21" spans="1:2" x14ac:dyDescent="0.3">
      <c r="A21" s="5" t="s">
        <v>76</v>
      </c>
      <c r="B21" s="1">
        <v>35</v>
      </c>
    </row>
    <row r="22" spans="1:2" x14ac:dyDescent="0.3">
      <c r="A22" s="5" t="s">
        <v>43</v>
      </c>
      <c r="B22" s="1">
        <v>40</v>
      </c>
    </row>
    <row r="23" spans="1:2" x14ac:dyDescent="0.3">
      <c r="A23" s="5" t="s">
        <v>121</v>
      </c>
      <c r="B23" s="1">
        <v>55</v>
      </c>
    </row>
    <row r="24" spans="1:2" x14ac:dyDescent="0.3">
      <c r="A24" s="5" t="s">
        <v>34</v>
      </c>
      <c r="B24" s="1">
        <v>65</v>
      </c>
    </row>
    <row r="25" spans="1:2" x14ac:dyDescent="0.3">
      <c r="A25" s="5" t="s">
        <v>139</v>
      </c>
      <c r="B25" s="1">
        <v>65</v>
      </c>
    </row>
    <row r="26" spans="1:2" x14ac:dyDescent="0.3">
      <c r="A26" s="5" t="s">
        <v>14</v>
      </c>
      <c r="B26" s="1">
        <v>70</v>
      </c>
    </row>
    <row r="27" spans="1:2" x14ac:dyDescent="0.3">
      <c r="A27" s="5" t="s">
        <v>88</v>
      </c>
      <c r="B27" s="1">
        <v>75</v>
      </c>
    </row>
    <row r="28" spans="1:2" x14ac:dyDescent="0.3">
      <c r="A28" s="5" t="s">
        <v>67</v>
      </c>
      <c r="B28" s="1">
        <v>90</v>
      </c>
    </row>
    <row r="29" spans="1:2" x14ac:dyDescent="0.3">
      <c r="A29" s="5" t="s">
        <v>72</v>
      </c>
      <c r="B29" s="1">
        <v>90</v>
      </c>
    </row>
    <row r="30" spans="1:2" x14ac:dyDescent="0.3">
      <c r="A30" s="5" t="s">
        <v>6</v>
      </c>
      <c r="B30" s="1">
        <v>95</v>
      </c>
    </row>
    <row r="31" spans="1:2" x14ac:dyDescent="0.3">
      <c r="A31" s="5" t="s">
        <v>26</v>
      </c>
      <c r="B31" s="1">
        <v>101.66666666666667</v>
      </c>
    </row>
    <row r="32" spans="1:2" x14ac:dyDescent="0.3">
      <c r="A32" s="5" t="s">
        <v>49</v>
      </c>
      <c r="B32" s="1">
        <v>110</v>
      </c>
    </row>
    <row r="33" spans="1:2" x14ac:dyDescent="0.3">
      <c r="A33" s="5" t="s">
        <v>56</v>
      </c>
      <c r="B33" s="1">
        <v>120</v>
      </c>
    </row>
    <row r="34" spans="1:2" x14ac:dyDescent="0.3">
      <c r="A34" s="5" t="s">
        <v>144</v>
      </c>
      <c r="B34" s="1">
        <v>120</v>
      </c>
    </row>
    <row r="35" spans="1:2" x14ac:dyDescent="0.3">
      <c r="A35" s="5" t="s">
        <v>19</v>
      </c>
      <c r="B35" s="1">
        <v>120</v>
      </c>
    </row>
    <row r="36" spans="1:2" x14ac:dyDescent="0.3">
      <c r="A36" s="5" t="s">
        <v>62</v>
      </c>
      <c r="B36" s="1">
        <v>127.5</v>
      </c>
    </row>
    <row r="37" spans="1:2" x14ac:dyDescent="0.3">
      <c r="A37" s="5" t="s">
        <v>84</v>
      </c>
      <c r="B37" s="1">
        <v>232.5</v>
      </c>
    </row>
    <row r="38" spans="1:2" x14ac:dyDescent="0.3">
      <c r="A38" s="5" t="s">
        <v>110</v>
      </c>
      <c r="B38" s="1">
        <v>780</v>
      </c>
    </row>
    <row r="39" spans="1:2" x14ac:dyDescent="0.3">
      <c r="A39" s="5" t="s">
        <v>101</v>
      </c>
      <c r="B39" s="1">
        <v>3850</v>
      </c>
    </row>
    <row r="40" spans="1:2" x14ac:dyDescent="0.3">
      <c r="A40" s="5" t="s">
        <v>80</v>
      </c>
      <c r="B40" s="1">
        <v>6800</v>
      </c>
    </row>
    <row r="41" spans="1:2" x14ac:dyDescent="0.3">
      <c r="A41" s="5" t="s">
        <v>164</v>
      </c>
      <c r="B41" s="1">
        <v>593.5</v>
      </c>
    </row>
    <row r="44" spans="1:2" x14ac:dyDescent="0.3">
      <c r="A44" s="4" t="s">
        <v>163</v>
      </c>
      <c r="B44" t="s">
        <v>168</v>
      </c>
    </row>
    <row r="45" spans="1:2" x14ac:dyDescent="0.3">
      <c r="A45" s="5" t="s">
        <v>56</v>
      </c>
      <c r="B45" s="2">
        <v>11</v>
      </c>
    </row>
    <row r="46" spans="1:2" x14ac:dyDescent="0.3">
      <c r="A46" s="5" t="s">
        <v>88</v>
      </c>
      <c r="B46" s="2">
        <v>2</v>
      </c>
    </row>
    <row r="47" spans="1:2" x14ac:dyDescent="0.3">
      <c r="A47" s="5" t="s">
        <v>72</v>
      </c>
      <c r="B47" s="2">
        <v>3</v>
      </c>
    </row>
    <row r="48" spans="1:2" x14ac:dyDescent="0.3">
      <c r="A48" s="5" t="s">
        <v>139</v>
      </c>
      <c r="B48" s="2">
        <v>0.5</v>
      </c>
    </row>
    <row r="49" spans="1:2" x14ac:dyDescent="0.3">
      <c r="A49" s="5" t="s">
        <v>49</v>
      </c>
      <c r="B49" s="2">
        <v>1.5</v>
      </c>
    </row>
    <row r="50" spans="1:2" x14ac:dyDescent="0.3">
      <c r="A50" s="5" t="s">
        <v>80</v>
      </c>
      <c r="B50" s="2">
        <v>8</v>
      </c>
    </row>
    <row r="51" spans="1:2" x14ac:dyDescent="0.3">
      <c r="A51" s="5" t="s">
        <v>26</v>
      </c>
      <c r="B51" s="2">
        <v>9.5</v>
      </c>
    </row>
    <row r="52" spans="1:2" x14ac:dyDescent="0.3">
      <c r="A52" s="5" t="s">
        <v>62</v>
      </c>
      <c r="B52" s="2">
        <v>7</v>
      </c>
    </row>
    <row r="53" spans="1:2" x14ac:dyDescent="0.3">
      <c r="A53" s="5" t="s">
        <v>121</v>
      </c>
      <c r="B53" s="2">
        <v>1.5</v>
      </c>
    </row>
    <row r="54" spans="1:2" x14ac:dyDescent="0.3">
      <c r="A54" s="5" t="s">
        <v>34</v>
      </c>
      <c r="B54" s="2">
        <v>2</v>
      </c>
    </row>
    <row r="55" spans="1:2" x14ac:dyDescent="0.3">
      <c r="A55" s="5" t="s">
        <v>92</v>
      </c>
      <c r="B55" s="2">
        <v>1</v>
      </c>
    </row>
    <row r="56" spans="1:2" x14ac:dyDescent="0.3">
      <c r="A56" s="5" t="s">
        <v>43</v>
      </c>
      <c r="B56" s="2">
        <v>3.5</v>
      </c>
    </row>
    <row r="57" spans="1:2" x14ac:dyDescent="0.3">
      <c r="A57" s="5" t="s">
        <v>6</v>
      </c>
      <c r="B57" s="2">
        <v>2.5</v>
      </c>
    </row>
    <row r="58" spans="1:2" x14ac:dyDescent="0.3">
      <c r="A58" s="5" t="s">
        <v>19</v>
      </c>
      <c r="B58" s="2">
        <v>4</v>
      </c>
    </row>
    <row r="59" spans="1:2" x14ac:dyDescent="0.3">
      <c r="A59" s="5" t="s">
        <v>110</v>
      </c>
      <c r="B59" s="2">
        <v>5</v>
      </c>
    </row>
    <row r="60" spans="1:2" x14ac:dyDescent="0.3">
      <c r="A60" s="5" t="s">
        <v>144</v>
      </c>
      <c r="B60" s="2">
        <v>1</v>
      </c>
    </row>
    <row r="61" spans="1:2" x14ac:dyDescent="0.3">
      <c r="A61" s="5" t="s">
        <v>76</v>
      </c>
      <c r="B61" s="2">
        <v>3</v>
      </c>
    </row>
    <row r="62" spans="1:2" x14ac:dyDescent="0.3">
      <c r="A62" s="5" t="s">
        <v>84</v>
      </c>
      <c r="B62" s="2">
        <v>3.5</v>
      </c>
    </row>
    <row r="63" spans="1:2" x14ac:dyDescent="0.3">
      <c r="A63" s="5" t="s">
        <v>67</v>
      </c>
      <c r="B63" s="2">
        <v>6</v>
      </c>
    </row>
    <row r="64" spans="1:2" x14ac:dyDescent="0.3">
      <c r="A64" s="5" t="s">
        <v>101</v>
      </c>
      <c r="B64" s="2">
        <v>18</v>
      </c>
    </row>
    <row r="65" spans="1:2" x14ac:dyDescent="0.3">
      <c r="A65" s="5" t="s">
        <v>14</v>
      </c>
      <c r="B65" s="2">
        <v>1.5</v>
      </c>
    </row>
    <row r="66" spans="1:2" x14ac:dyDescent="0.3">
      <c r="A66" s="5" t="s">
        <v>164</v>
      </c>
      <c r="B66" s="2">
        <v>95</v>
      </c>
    </row>
    <row r="69" spans="1:2" x14ac:dyDescent="0.3">
      <c r="A69" s="4" t="s">
        <v>163</v>
      </c>
      <c r="B69" t="s">
        <v>166</v>
      </c>
    </row>
    <row r="70" spans="1:2" x14ac:dyDescent="0.3">
      <c r="A70" s="5" t="s">
        <v>47</v>
      </c>
      <c r="B70" s="1">
        <v>110</v>
      </c>
    </row>
    <row r="71" spans="1:2" x14ac:dyDescent="0.3">
      <c r="A71" s="5" t="s">
        <v>148</v>
      </c>
      <c r="B71" s="1">
        <v>35</v>
      </c>
    </row>
    <row r="72" spans="1:2" x14ac:dyDescent="0.3">
      <c r="A72" s="5" t="s">
        <v>65</v>
      </c>
      <c r="B72" s="1">
        <v>90</v>
      </c>
    </row>
    <row r="73" spans="1:2" x14ac:dyDescent="0.3">
      <c r="A73" s="5" t="s">
        <v>24</v>
      </c>
      <c r="B73" s="1">
        <v>255</v>
      </c>
    </row>
    <row r="74" spans="1:2" x14ac:dyDescent="0.3">
      <c r="A74" s="5" t="s">
        <v>114</v>
      </c>
      <c r="B74" s="1">
        <v>40</v>
      </c>
    </row>
    <row r="75" spans="1:2" x14ac:dyDescent="0.3">
      <c r="A75" s="5" t="s">
        <v>4</v>
      </c>
      <c r="B75" s="1">
        <v>445</v>
      </c>
    </row>
    <row r="76" spans="1:2" x14ac:dyDescent="0.3">
      <c r="A76" s="5" t="s">
        <v>127</v>
      </c>
      <c r="B76" s="1">
        <v>60</v>
      </c>
    </row>
    <row r="77" spans="1:2" x14ac:dyDescent="0.3">
      <c r="A77" s="5" t="s">
        <v>32</v>
      </c>
      <c r="B77" s="1">
        <v>65</v>
      </c>
    </row>
    <row r="78" spans="1:2" x14ac:dyDescent="0.3">
      <c r="A78" s="5" t="s">
        <v>38</v>
      </c>
      <c r="B78" s="1">
        <v>140</v>
      </c>
    </row>
    <row r="79" spans="1:2" x14ac:dyDescent="0.3">
      <c r="A79" s="5" t="s">
        <v>54</v>
      </c>
      <c r="B79" s="1">
        <v>180</v>
      </c>
    </row>
    <row r="80" spans="1:2" x14ac:dyDescent="0.3">
      <c r="A80" s="5" t="s">
        <v>95</v>
      </c>
      <c r="B80" s="1">
        <v>130</v>
      </c>
    </row>
    <row r="81" spans="1:2" x14ac:dyDescent="0.3">
      <c r="A81" s="5" t="s">
        <v>131</v>
      </c>
      <c r="B81" s="1">
        <v>350</v>
      </c>
    </row>
    <row r="82" spans="1:2" x14ac:dyDescent="0.3">
      <c r="A82" s="5" t="s">
        <v>137</v>
      </c>
      <c r="B82" s="1">
        <v>255</v>
      </c>
    </row>
    <row r="83" spans="1:2" x14ac:dyDescent="0.3">
      <c r="A83" s="5" t="s">
        <v>12</v>
      </c>
      <c r="B83" s="1">
        <v>15650</v>
      </c>
    </row>
    <row r="84" spans="1:2" x14ac:dyDescent="0.3">
      <c r="A84" s="5" t="s">
        <v>164</v>
      </c>
      <c r="B84" s="1">
        <v>17805</v>
      </c>
    </row>
    <row r="87" spans="1:2" x14ac:dyDescent="0.3">
      <c r="A87" s="4" t="s">
        <v>163</v>
      </c>
      <c r="B87" t="s">
        <v>172</v>
      </c>
    </row>
    <row r="88" spans="1:2" x14ac:dyDescent="0.3">
      <c r="A88" s="5" t="s">
        <v>169</v>
      </c>
      <c r="B88" s="14">
        <v>16</v>
      </c>
    </row>
    <row r="89" spans="1:2" x14ac:dyDescent="0.3">
      <c r="A89" s="5" t="s">
        <v>170</v>
      </c>
      <c r="B89" s="14">
        <v>6</v>
      </c>
    </row>
    <row r="90" spans="1:2" x14ac:dyDescent="0.3">
      <c r="A90" s="5" t="s">
        <v>171</v>
      </c>
      <c r="B90" s="14">
        <v>8</v>
      </c>
    </row>
    <row r="91" spans="1:2" x14ac:dyDescent="0.3">
      <c r="A91" s="5" t="s">
        <v>164</v>
      </c>
      <c r="B91" s="14">
        <v>30</v>
      </c>
    </row>
    <row r="105" spans="1:2" x14ac:dyDescent="0.3">
      <c r="A105" t="s">
        <v>168</v>
      </c>
      <c r="B105" t="s">
        <v>166</v>
      </c>
    </row>
    <row r="106" spans="1:2" x14ac:dyDescent="0.3">
      <c r="A106" s="2">
        <v>95</v>
      </c>
      <c r="B106" s="1">
        <v>17805</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2BFDE-E418-4A6A-8411-ACA43BBC8E62}">
  <dimension ref="A1:X20"/>
  <sheetViews>
    <sheetView showGridLines="0" zoomScale="85" zoomScaleNormal="85" workbookViewId="0">
      <selection activeCell="G34" sqref="G34"/>
    </sheetView>
  </sheetViews>
  <sheetFormatPr defaultRowHeight="14.4" x14ac:dyDescent="0.3"/>
  <sheetData>
    <row r="1" spans="1:23" x14ac:dyDescent="0.3">
      <c r="A1" s="6"/>
      <c r="B1" s="6"/>
      <c r="C1" s="6"/>
      <c r="D1" s="6"/>
      <c r="E1" s="6"/>
      <c r="F1" s="6"/>
      <c r="G1" s="6"/>
      <c r="H1" s="6"/>
      <c r="I1" s="6"/>
      <c r="J1" s="6"/>
      <c r="K1" s="6"/>
      <c r="L1" s="6"/>
      <c r="M1" s="6"/>
      <c r="N1" s="6"/>
      <c r="O1" s="6"/>
      <c r="P1" s="6"/>
      <c r="Q1" s="6"/>
      <c r="R1" s="6"/>
      <c r="S1" s="6"/>
      <c r="T1" s="6"/>
      <c r="U1" s="6"/>
      <c r="V1" s="8"/>
      <c r="W1" s="8"/>
    </row>
    <row r="2" spans="1:23" ht="38.4" x14ac:dyDescent="0.9">
      <c r="A2" s="6"/>
      <c r="B2" s="6"/>
      <c r="C2" s="6"/>
      <c r="D2" s="6"/>
      <c r="E2" s="6"/>
      <c r="F2" s="6"/>
      <c r="G2" s="6"/>
      <c r="H2" s="13" t="s">
        <v>173</v>
      </c>
      <c r="I2" s="6"/>
      <c r="J2" s="6"/>
      <c r="K2" s="6"/>
      <c r="L2" s="6"/>
      <c r="M2" s="6"/>
      <c r="N2" s="6"/>
      <c r="O2" s="6"/>
      <c r="P2" s="6"/>
      <c r="Q2" s="6"/>
      <c r="R2" s="6"/>
      <c r="S2" s="6"/>
      <c r="T2" s="6"/>
      <c r="U2" s="6"/>
      <c r="V2" s="8"/>
      <c r="W2" s="8"/>
    </row>
    <row r="20" spans="24:24" x14ac:dyDescent="0.3">
      <c r="X20"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3DB67-91E5-4A76-9389-1641722B4075}">
  <dimension ref="A1:C16"/>
  <sheetViews>
    <sheetView workbookViewId="0">
      <selection activeCell="C17" sqref="C17"/>
    </sheetView>
  </sheetViews>
  <sheetFormatPr defaultRowHeight="14.4" x14ac:dyDescent="0.3"/>
  <cols>
    <col min="1" max="1" width="5.33203125" customWidth="1"/>
    <col min="2" max="2" width="76.109375" bestFit="1" customWidth="1"/>
    <col min="3" max="3" width="100.44140625" bestFit="1" customWidth="1"/>
  </cols>
  <sheetData>
    <row r="1" spans="1:3" ht="15.6" x14ac:dyDescent="0.3">
      <c r="A1" s="9" t="s">
        <v>7</v>
      </c>
      <c r="B1" s="9" t="s">
        <v>174</v>
      </c>
      <c r="C1" s="9" t="s">
        <v>175</v>
      </c>
    </row>
    <row r="2" spans="1:3" ht="15.6" x14ac:dyDescent="0.3">
      <c r="A2" s="10">
        <v>1</v>
      </c>
      <c r="B2" s="11" t="s">
        <v>176</v>
      </c>
      <c r="C2" s="11" t="s">
        <v>177</v>
      </c>
    </row>
    <row r="3" spans="1:3" ht="15.6" x14ac:dyDescent="0.3">
      <c r="A3" s="10">
        <v>2</v>
      </c>
      <c r="B3" s="11" t="s">
        <v>178</v>
      </c>
      <c r="C3" s="11" t="s">
        <v>179</v>
      </c>
    </row>
    <row r="4" spans="1:3" ht="15.6" x14ac:dyDescent="0.3">
      <c r="A4" s="10">
        <v>3</v>
      </c>
      <c r="B4" s="11" t="s">
        <v>180</v>
      </c>
      <c r="C4" s="11" t="s">
        <v>181</v>
      </c>
    </row>
    <row r="5" spans="1:3" ht="15.6" x14ac:dyDescent="0.3">
      <c r="A5" s="10">
        <v>4</v>
      </c>
      <c r="B5" s="11" t="s">
        <v>182</v>
      </c>
      <c r="C5" s="11" t="s">
        <v>183</v>
      </c>
    </row>
    <row r="6" spans="1:3" ht="15.6" x14ac:dyDescent="0.3">
      <c r="A6" s="10">
        <v>5</v>
      </c>
      <c r="B6" s="11" t="s">
        <v>184</v>
      </c>
      <c r="C6" s="11" t="s">
        <v>185</v>
      </c>
    </row>
    <row r="7" spans="1:3" ht="15.6" x14ac:dyDescent="0.3">
      <c r="A7" s="10">
        <v>6</v>
      </c>
      <c r="B7" s="11" t="s">
        <v>186</v>
      </c>
      <c r="C7" s="11" t="s">
        <v>187</v>
      </c>
    </row>
    <row r="8" spans="1:3" ht="15.6" x14ac:dyDescent="0.3">
      <c r="A8" s="10">
        <v>7</v>
      </c>
      <c r="B8" s="11" t="s">
        <v>188</v>
      </c>
      <c r="C8" s="11" t="s">
        <v>189</v>
      </c>
    </row>
    <row r="9" spans="1:3" ht="15.6" x14ac:dyDescent="0.3">
      <c r="A9" s="10">
        <v>8</v>
      </c>
      <c r="B9" s="11" t="s">
        <v>190</v>
      </c>
      <c r="C9" s="11" t="s">
        <v>191</v>
      </c>
    </row>
    <row r="12" spans="1:3" x14ac:dyDescent="0.3">
      <c r="B12" s="12" t="s">
        <v>192</v>
      </c>
    </row>
    <row r="13" spans="1:3" x14ac:dyDescent="0.3">
      <c r="A13">
        <v>1</v>
      </c>
      <c r="B13" t="s">
        <v>193</v>
      </c>
    </row>
    <row r="14" spans="1:3" x14ac:dyDescent="0.3">
      <c r="A14">
        <v>2</v>
      </c>
      <c r="B14" t="s">
        <v>194</v>
      </c>
    </row>
    <row r="15" spans="1:3" x14ac:dyDescent="0.3">
      <c r="A15">
        <v>3</v>
      </c>
      <c r="B15" t="s">
        <v>195</v>
      </c>
    </row>
    <row r="16" spans="1:3" x14ac:dyDescent="0.3">
      <c r="A16">
        <v>4</v>
      </c>
      <c r="B16" t="s">
        <v>196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world_famous_places_2024 </vt:lpstr>
      <vt:lpstr>Pivot</vt:lpstr>
      <vt:lpstr>Dashboard</vt:lpstr>
      <vt:lpstr>Insights &amp;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Eveel Z</cp:lastModifiedBy>
  <dcterms:created xsi:type="dcterms:W3CDTF">2026-01-18T14:22:51Z</dcterms:created>
  <dcterms:modified xsi:type="dcterms:W3CDTF">2026-02-07T17:18:34Z</dcterms:modified>
</cp:coreProperties>
</file>